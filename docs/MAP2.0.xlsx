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Data\TVS\Projects\Titan\AQ\Tools\XML XLS converter\"/>
    </mc:Choice>
  </mc:AlternateContent>
  <xr:revisionPtr revIDLastSave="0" documentId="8_{586058EE-BBB0-4C45-9DD4-6F68CA5B66C6}" xr6:coauthVersionLast="47" xr6:coauthVersionMax="47" xr10:uidLastSave="{00000000-0000-0000-0000-000000000000}"/>
  <bookViews>
    <workbookView xWindow="-120" yWindow="-120" windowWidth="29040" windowHeight="17520" tabRatio="348" firstSheet="1" activeTab="1" xr2:uid="{5496ACE7-EB44-4C6C-B4EB-23E3A3B63682}"/>
  </bookViews>
  <sheets>
    <sheet name="AQ_INFO" sheetId="10" state="hidden" r:id="rId1"/>
    <sheet name="Copy&amp;Paste" sheetId="22" r:id="rId2"/>
    <sheet name="Sheet1" sheetId="23" state="hidden" r:id="rId3"/>
    <sheet name="AQ_Version" sheetId="16" state="hidden" r:id="rId4"/>
    <sheet name="AQ_Header" sheetId="9" state="hidden" r:id="rId5"/>
  </sheets>
  <definedNames>
    <definedName name="_xlnm._FilterDatabase" localSheetId="1" hidden="1">'Copy&amp;Paste'!$A$14:$G$670</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70" i="22" l="1"/>
  <c r="E650" i="22"/>
  <c r="E651" i="22" s="1"/>
  <c r="E652" i="22" s="1"/>
  <c r="E653" i="22" s="1"/>
  <c r="E654" i="22" s="1"/>
  <c r="E655" i="22" s="1"/>
  <c r="E656" i="22" s="1"/>
  <c r="E657" i="22" s="1"/>
  <c r="E658" i="22" s="1"/>
  <c r="E659" i="22" s="1"/>
  <c r="E660" i="22" s="1"/>
  <c r="E661" i="22" s="1"/>
  <c r="E662" i="22" s="1"/>
  <c r="E663" i="22" s="1"/>
  <c r="E664" i="22" s="1"/>
  <c r="E665" i="22" s="1"/>
  <c r="E666" i="22" s="1"/>
  <c r="E667" i="22" s="1"/>
  <c r="E668" i="22" s="1"/>
  <c r="E630" i="22"/>
  <c r="E631" i="22" s="1"/>
  <c r="E632" i="22" s="1"/>
  <c r="E633" i="22" s="1"/>
  <c r="E634" i="22" s="1"/>
  <c r="E635" i="22" s="1"/>
  <c r="E636" i="22" s="1"/>
  <c r="E637" i="22" s="1"/>
  <c r="E638" i="22" s="1"/>
  <c r="E639" i="22" s="1"/>
  <c r="E640" i="22" s="1"/>
  <c r="E641" i="22" s="1"/>
  <c r="E642" i="22" s="1"/>
  <c r="E643" i="22" s="1"/>
  <c r="E644" i="22" s="1"/>
  <c r="E645" i="22" s="1"/>
  <c r="E646" i="22" s="1"/>
  <c r="E647" i="22" s="1"/>
  <c r="E648" i="22" s="1"/>
  <c r="E627" i="22"/>
  <c r="E628" i="22" s="1"/>
  <c r="E607" i="22"/>
  <c r="E608" i="22" s="1"/>
  <c r="E609" i="22" s="1"/>
  <c r="E610" i="22" s="1"/>
  <c r="E611" i="22" s="1"/>
  <c r="E612" i="22" s="1"/>
  <c r="E613" i="22" s="1"/>
  <c r="E614" i="22" s="1"/>
  <c r="E615" i="22" s="1"/>
  <c r="E616" i="22" s="1"/>
  <c r="E617" i="22" s="1"/>
  <c r="E618" i="22" s="1"/>
  <c r="E619" i="22" s="1"/>
  <c r="E620" i="22" s="1"/>
  <c r="E621" i="22" s="1"/>
  <c r="E622" i="22" s="1"/>
  <c r="E623" i="22" s="1"/>
  <c r="E624" i="22" s="1"/>
  <c r="E625" i="22" s="1"/>
  <c r="E587" i="22"/>
  <c r="E588" i="22" s="1"/>
  <c r="E589" i="22" s="1"/>
  <c r="E590" i="22" s="1"/>
  <c r="E591" i="22" s="1"/>
  <c r="E592" i="22" s="1"/>
  <c r="E593" i="22" s="1"/>
  <c r="E594" i="22" s="1"/>
  <c r="E595" i="22" s="1"/>
  <c r="E596" i="22" s="1"/>
  <c r="E597" i="22" s="1"/>
  <c r="E598" i="22" s="1"/>
  <c r="E599" i="22" s="1"/>
  <c r="E600" i="22" s="1"/>
  <c r="E601" i="22" s="1"/>
  <c r="E602" i="22" s="1"/>
  <c r="E603" i="22" s="1"/>
  <c r="E604" i="22" s="1"/>
  <c r="E605" i="22" s="1"/>
  <c r="E585" i="22"/>
  <c r="E565" i="22"/>
  <c r="E566" i="22" s="1"/>
  <c r="E567" i="22" s="1"/>
  <c r="E568" i="22" s="1"/>
  <c r="E569" i="22" s="1"/>
  <c r="E570" i="22" s="1"/>
  <c r="E571" i="22" s="1"/>
  <c r="E572" i="22" s="1"/>
  <c r="E573" i="22" s="1"/>
  <c r="E574" i="22" s="1"/>
  <c r="E575" i="22" s="1"/>
  <c r="E576" i="22" s="1"/>
  <c r="E577" i="22" s="1"/>
  <c r="E578" i="22" s="1"/>
  <c r="E579" i="22" s="1"/>
  <c r="E580" i="22" s="1"/>
  <c r="E581" i="22" s="1"/>
  <c r="E582" i="22" s="1"/>
  <c r="E583" i="22" s="1"/>
  <c r="E545" i="22"/>
  <c r="E546" i="22" s="1"/>
  <c r="E547" i="22" s="1"/>
  <c r="E548" i="22" s="1"/>
  <c r="E549" i="22" s="1"/>
  <c r="E550" i="22" s="1"/>
  <c r="E551" i="22" s="1"/>
  <c r="E552" i="22" s="1"/>
  <c r="E553" i="22" s="1"/>
  <c r="E554" i="22" s="1"/>
  <c r="E555" i="22" s="1"/>
  <c r="E556" i="22" s="1"/>
  <c r="E557" i="22" s="1"/>
  <c r="E558" i="22" s="1"/>
  <c r="E559" i="22" s="1"/>
  <c r="E560" i="22" s="1"/>
  <c r="E561" i="22" s="1"/>
  <c r="E562" i="22" s="1"/>
  <c r="E563" i="22" s="1"/>
  <c r="E543" i="22"/>
  <c r="E533" i="22"/>
  <c r="E534" i="22" s="1"/>
  <c r="E535" i="22" s="1"/>
  <c r="E536" i="22" s="1"/>
  <c r="E537" i="22" s="1"/>
  <c r="E538" i="22" s="1"/>
  <c r="E539" i="22" s="1"/>
  <c r="E540" i="22" s="1"/>
  <c r="E541" i="22" s="1"/>
  <c r="E527" i="22"/>
  <c r="E528" i="22" s="1"/>
  <c r="E529" i="22" s="1"/>
  <c r="E530" i="22" s="1"/>
  <c r="E531" i="22" s="1"/>
  <c r="E521" i="22"/>
  <c r="E522" i="22" s="1"/>
  <c r="E523" i="22" s="1"/>
  <c r="E524" i="22" s="1"/>
  <c r="E525" i="22" s="1"/>
  <c r="E515" i="22"/>
  <c r="E516" i="22" s="1"/>
  <c r="E517" i="22" s="1"/>
  <c r="E518" i="22" s="1"/>
  <c r="E519" i="22" s="1"/>
  <c r="E508" i="22"/>
  <c r="E509" i="22" s="1"/>
  <c r="E510" i="22" s="1"/>
  <c r="E511" i="22" s="1"/>
  <c r="E506" i="22"/>
  <c r="E486" i="22"/>
  <c r="E487" i="22" s="1"/>
  <c r="E488" i="22" s="1"/>
  <c r="E489" i="22" s="1"/>
  <c r="E490" i="22" s="1"/>
  <c r="E491" i="22" s="1"/>
  <c r="E492" i="22" s="1"/>
  <c r="E493" i="22" s="1"/>
  <c r="E494" i="22" s="1"/>
  <c r="E495" i="22" s="1"/>
  <c r="E496" i="22" s="1"/>
  <c r="E497" i="22" s="1"/>
  <c r="E498" i="22" s="1"/>
  <c r="E499" i="22" s="1"/>
  <c r="E500" i="22" s="1"/>
  <c r="E501" i="22" s="1"/>
  <c r="E502" i="22" s="1"/>
  <c r="E503" i="22" s="1"/>
  <c r="E504" i="22" s="1"/>
  <c r="E466" i="22"/>
  <c r="E467" i="22" s="1"/>
  <c r="E468" i="22" s="1"/>
  <c r="E469" i="22" s="1"/>
  <c r="E470" i="22" s="1"/>
  <c r="E471" i="22" s="1"/>
  <c r="E472" i="22" s="1"/>
  <c r="E473" i="22" s="1"/>
  <c r="E474" i="22" s="1"/>
  <c r="E475" i="22" s="1"/>
  <c r="E476" i="22" s="1"/>
  <c r="E477" i="22" s="1"/>
  <c r="E478" i="22" s="1"/>
  <c r="E479" i="22" s="1"/>
  <c r="E480" i="22" s="1"/>
  <c r="E481" i="22" s="1"/>
  <c r="E482" i="22" s="1"/>
  <c r="E483" i="22" s="1"/>
  <c r="E484" i="22" s="1"/>
  <c r="E463" i="22"/>
  <c r="E464" i="22" s="1"/>
  <c r="E443" i="22"/>
  <c r="E444" i="22" s="1"/>
  <c r="E445" i="22" s="1"/>
  <c r="E446" i="22" s="1"/>
  <c r="E447" i="22" s="1"/>
  <c r="E448" i="22" s="1"/>
  <c r="E449" i="22" s="1"/>
  <c r="E450" i="22" s="1"/>
  <c r="E451" i="22" s="1"/>
  <c r="E452" i="22" s="1"/>
  <c r="E453" i="22" s="1"/>
  <c r="E454" i="22" s="1"/>
  <c r="E455" i="22" s="1"/>
  <c r="E456" i="22" s="1"/>
  <c r="E457" i="22" s="1"/>
  <c r="E458" i="22" s="1"/>
  <c r="E459" i="22" s="1"/>
  <c r="E460" i="22" s="1"/>
  <c r="E461" i="22" s="1"/>
  <c r="E423" i="22"/>
  <c r="E424" i="22" s="1"/>
  <c r="E425" i="22" s="1"/>
  <c r="E426" i="22" s="1"/>
  <c r="E427" i="22" s="1"/>
  <c r="E428" i="22" s="1"/>
  <c r="E429" i="22" s="1"/>
  <c r="E430" i="22" s="1"/>
  <c r="E431" i="22" s="1"/>
  <c r="E432" i="22" s="1"/>
  <c r="E433" i="22" s="1"/>
  <c r="E434" i="22" s="1"/>
  <c r="E435" i="22" s="1"/>
  <c r="E436" i="22" s="1"/>
  <c r="E437" i="22" s="1"/>
  <c r="E438" i="22" s="1"/>
  <c r="E439" i="22" s="1"/>
  <c r="E440" i="22" s="1"/>
  <c r="E441" i="22" s="1"/>
  <c r="E421" i="22"/>
  <c r="E401" i="22"/>
  <c r="E402" i="22" s="1"/>
  <c r="E403" i="22" s="1"/>
  <c r="E404" i="22" s="1"/>
  <c r="E405" i="22" s="1"/>
  <c r="E406" i="22" s="1"/>
  <c r="E407" i="22" s="1"/>
  <c r="E408" i="22" s="1"/>
  <c r="E409" i="22" s="1"/>
  <c r="E410" i="22" s="1"/>
  <c r="E411" i="22" s="1"/>
  <c r="E412" i="22" s="1"/>
  <c r="E413" i="22" s="1"/>
  <c r="E414" i="22" s="1"/>
  <c r="E415" i="22" s="1"/>
  <c r="E416" i="22" s="1"/>
  <c r="E417" i="22" s="1"/>
  <c r="E418" i="22" s="1"/>
  <c r="E419" i="22" s="1"/>
  <c r="E381" i="22"/>
  <c r="E382" i="22" s="1"/>
  <c r="E383" i="22" s="1"/>
  <c r="E384" i="22" s="1"/>
  <c r="E385" i="22" s="1"/>
  <c r="E386" i="22" s="1"/>
  <c r="E387" i="22" s="1"/>
  <c r="E388" i="22" s="1"/>
  <c r="E389" i="22" s="1"/>
  <c r="E390" i="22" s="1"/>
  <c r="E391" i="22" s="1"/>
  <c r="E392" i="22" s="1"/>
  <c r="E393" i="22" s="1"/>
  <c r="E394" i="22" s="1"/>
  <c r="E395" i="22" s="1"/>
  <c r="E396" i="22" s="1"/>
  <c r="E397" i="22" s="1"/>
  <c r="E398" i="22" s="1"/>
  <c r="E399" i="22" s="1"/>
  <c r="E379" i="22"/>
  <c r="E369" i="22"/>
  <c r="E370" i="22" s="1"/>
  <c r="E371" i="22" s="1"/>
  <c r="E372" i="22" s="1"/>
  <c r="E373" i="22" s="1"/>
  <c r="E374" i="22" s="1"/>
  <c r="E375" i="22" s="1"/>
  <c r="E376" i="22" s="1"/>
  <c r="E377" i="22" s="1"/>
  <c r="E363" i="22"/>
  <c r="E364" i="22" s="1"/>
  <c r="E365" i="22" s="1"/>
  <c r="E366" i="22" s="1"/>
  <c r="E367" i="22" s="1"/>
  <c r="E357" i="22"/>
  <c r="E358" i="22" s="1"/>
  <c r="E359" i="22" s="1"/>
  <c r="E360" i="22" s="1"/>
  <c r="E361" i="22" s="1"/>
  <c r="E351" i="22"/>
  <c r="E352" i="22" s="1"/>
  <c r="E353" i="22" s="1"/>
  <c r="E354" i="22" s="1"/>
  <c r="E355" i="22" s="1"/>
  <c r="E344" i="22"/>
  <c r="E345" i="22" s="1"/>
  <c r="E346" i="22" s="1"/>
  <c r="E347" i="22" s="1"/>
  <c r="E342" i="22"/>
  <c r="E322" i="22"/>
  <c r="E323" i="22" s="1"/>
  <c r="E324" i="22" s="1"/>
  <c r="E325" i="22" s="1"/>
  <c r="E326" i="22" s="1"/>
  <c r="E327" i="22" s="1"/>
  <c r="E328" i="22" s="1"/>
  <c r="E329" i="22" s="1"/>
  <c r="E330" i="22" s="1"/>
  <c r="E331" i="22" s="1"/>
  <c r="E332" i="22" s="1"/>
  <c r="E333" i="22" s="1"/>
  <c r="E334" i="22" s="1"/>
  <c r="E335" i="22" s="1"/>
  <c r="E336" i="22" s="1"/>
  <c r="E337" i="22" s="1"/>
  <c r="E338" i="22" s="1"/>
  <c r="E339" i="22" s="1"/>
  <c r="E340" i="22" s="1"/>
  <c r="E302" i="22"/>
  <c r="E303" i="22" s="1"/>
  <c r="E304" i="22" s="1"/>
  <c r="E305" i="22" s="1"/>
  <c r="E306" i="22" s="1"/>
  <c r="E307" i="22" s="1"/>
  <c r="E308" i="22" s="1"/>
  <c r="E309" i="22" s="1"/>
  <c r="E310" i="22" s="1"/>
  <c r="E311" i="22" s="1"/>
  <c r="E312" i="22" s="1"/>
  <c r="E313" i="22" s="1"/>
  <c r="E314" i="22" s="1"/>
  <c r="E315" i="22" s="1"/>
  <c r="E316" i="22" s="1"/>
  <c r="E317" i="22" s="1"/>
  <c r="E318" i="22" s="1"/>
  <c r="E319" i="22" s="1"/>
  <c r="E320" i="22" s="1"/>
  <c r="E299" i="22"/>
  <c r="E300" i="22" s="1"/>
  <c r="E279" i="22"/>
  <c r="E280" i="22" s="1"/>
  <c r="E281" i="22" s="1"/>
  <c r="E282" i="22" s="1"/>
  <c r="E283" i="22" s="1"/>
  <c r="E284" i="22" s="1"/>
  <c r="E285" i="22" s="1"/>
  <c r="E286" i="22" s="1"/>
  <c r="E287" i="22" s="1"/>
  <c r="E288" i="22" s="1"/>
  <c r="E289" i="22" s="1"/>
  <c r="E290" i="22" s="1"/>
  <c r="E291" i="22" s="1"/>
  <c r="E292" i="22" s="1"/>
  <c r="E293" i="22" s="1"/>
  <c r="E294" i="22" s="1"/>
  <c r="E295" i="22" s="1"/>
  <c r="E296" i="22" s="1"/>
  <c r="E297" i="22" s="1"/>
  <c r="E259" i="22"/>
  <c r="E260" i="22" s="1"/>
  <c r="E261" i="22" s="1"/>
  <c r="E262" i="22" s="1"/>
  <c r="E263" i="22" s="1"/>
  <c r="E264" i="22" s="1"/>
  <c r="E265" i="22" s="1"/>
  <c r="E266" i="22" s="1"/>
  <c r="E267" i="22" s="1"/>
  <c r="E268" i="22" s="1"/>
  <c r="E269" i="22" s="1"/>
  <c r="E270" i="22" s="1"/>
  <c r="E271" i="22" s="1"/>
  <c r="E272" i="22" s="1"/>
  <c r="E273" i="22" s="1"/>
  <c r="E274" i="22" s="1"/>
  <c r="E275" i="22" s="1"/>
  <c r="E276" i="22" s="1"/>
  <c r="E277" i="22" s="1"/>
  <c r="E257" i="22"/>
  <c r="E237" i="22"/>
  <c r="E238" i="22" s="1"/>
  <c r="E239" i="22" s="1"/>
  <c r="E240" i="22" s="1"/>
  <c r="E241" i="22" s="1"/>
  <c r="E242" i="22" s="1"/>
  <c r="E243" i="22" s="1"/>
  <c r="E244" i="22" s="1"/>
  <c r="E245" i="22" s="1"/>
  <c r="E246" i="22" s="1"/>
  <c r="E247" i="22" s="1"/>
  <c r="E248" i="22" s="1"/>
  <c r="E249" i="22" s="1"/>
  <c r="E250" i="22" s="1"/>
  <c r="E251" i="22" s="1"/>
  <c r="E252" i="22" s="1"/>
  <c r="E253" i="22" s="1"/>
  <c r="E254" i="22" s="1"/>
  <c r="E255" i="22" s="1"/>
  <c r="E217" i="22"/>
  <c r="E218" i="22" s="1"/>
  <c r="E219" i="22" s="1"/>
  <c r="E220" i="22" s="1"/>
  <c r="E221" i="22" s="1"/>
  <c r="E222" i="22" s="1"/>
  <c r="E223" i="22" s="1"/>
  <c r="E224" i="22" s="1"/>
  <c r="E225" i="22" s="1"/>
  <c r="E226" i="22" s="1"/>
  <c r="E227" i="22" s="1"/>
  <c r="E228" i="22" s="1"/>
  <c r="E229" i="22" s="1"/>
  <c r="E230" i="22" s="1"/>
  <c r="E231" i="22" s="1"/>
  <c r="E232" i="22" s="1"/>
  <c r="E233" i="22" s="1"/>
  <c r="E234" i="22" s="1"/>
  <c r="E235" i="22" s="1"/>
  <c r="E215" i="22"/>
  <c r="E205" i="22"/>
  <c r="E206" i="22" s="1"/>
  <c r="E207" i="22" s="1"/>
  <c r="E208" i="22" s="1"/>
  <c r="E209" i="22" s="1"/>
  <c r="E210" i="22" s="1"/>
  <c r="E211" i="22" s="1"/>
  <c r="E212" i="22" s="1"/>
  <c r="E213" i="22" s="1"/>
  <c r="E199" i="22"/>
  <c r="E200" i="22" s="1"/>
  <c r="E201" i="22" s="1"/>
  <c r="E202" i="22" s="1"/>
  <c r="E203" i="22" s="1"/>
  <c r="E193" i="22"/>
  <c r="E194" i="22" s="1"/>
  <c r="E195" i="22" s="1"/>
  <c r="E196" i="22" s="1"/>
  <c r="E197" i="22" s="1"/>
  <c r="E187" i="22"/>
  <c r="E188" i="22" s="1"/>
  <c r="E189" i="22" s="1"/>
  <c r="E190" i="22" s="1"/>
  <c r="E191" i="22" s="1"/>
  <c r="E180" i="22"/>
  <c r="E181" i="22" s="1"/>
  <c r="E182" i="22" s="1"/>
  <c r="E183" i="22" s="1"/>
  <c r="E178" i="22"/>
  <c r="E158" i="22"/>
  <c r="E159" i="22" s="1"/>
  <c r="E160" i="22" s="1"/>
  <c r="E161" i="22" s="1"/>
  <c r="E162" i="22" s="1"/>
  <c r="E163" i="22" s="1"/>
  <c r="E164" i="22" s="1"/>
  <c r="E165" i="22" s="1"/>
  <c r="E166" i="22" s="1"/>
  <c r="E167" i="22" s="1"/>
  <c r="E168" i="22" s="1"/>
  <c r="E169" i="22" s="1"/>
  <c r="E170" i="22" s="1"/>
  <c r="E171" i="22" s="1"/>
  <c r="E172" i="22" s="1"/>
  <c r="E173" i="22" s="1"/>
  <c r="E174" i="22" s="1"/>
  <c r="E175" i="22" s="1"/>
  <c r="E176" i="22" s="1"/>
  <c r="E138" i="22"/>
  <c r="E139" i="22" s="1"/>
  <c r="E140" i="22" s="1"/>
  <c r="E141" i="22" s="1"/>
  <c r="E142" i="22" s="1"/>
  <c r="E143" i="22" s="1"/>
  <c r="E144" i="22" s="1"/>
  <c r="E145" i="22" s="1"/>
  <c r="E146" i="22" s="1"/>
  <c r="E147" i="22" s="1"/>
  <c r="E148" i="22" s="1"/>
  <c r="E149" i="22" s="1"/>
  <c r="E150" i="22" s="1"/>
  <c r="E151" i="22" s="1"/>
  <c r="E152" i="22" s="1"/>
  <c r="E153" i="22" s="1"/>
  <c r="E154" i="22" s="1"/>
  <c r="E155" i="22" s="1"/>
  <c r="E156" i="22" s="1"/>
  <c r="E135" i="22"/>
  <c r="E136" i="22" s="1"/>
  <c r="E115" i="22"/>
  <c r="E116" i="22" s="1"/>
  <c r="E117" i="22" s="1"/>
  <c r="E118" i="22" s="1"/>
  <c r="E119" i="22" s="1"/>
  <c r="E120" i="22" s="1"/>
  <c r="E121" i="22" s="1"/>
  <c r="E122" i="22" s="1"/>
  <c r="E123" i="22" s="1"/>
  <c r="E124" i="22" s="1"/>
  <c r="E125" i="22" s="1"/>
  <c r="E126" i="22" s="1"/>
  <c r="E127" i="22" s="1"/>
  <c r="E128" i="22" s="1"/>
  <c r="E129" i="22" s="1"/>
  <c r="E130" i="22" s="1"/>
  <c r="E131" i="22" s="1"/>
  <c r="E132" i="22" s="1"/>
  <c r="E133" i="22" s="1"/>
  <c r="E95" i="22"/>
  <c r="E96" i="22" s="1"/>
  <c r="E97" i="22" s="1"/>
  <c r="E98" i="22" s="1"/>
  <c r="E99" i="22" s="1"/>
  <c r="E100" i="22" s="1"/>
  <c r="E101" i="22" s="1"/>
  <c r="E102" i="22" s="1"/>
  <c r="E103" i="22" s="1"/>
  <c r="E104" i="22" s="1"/>
  <c r="E105" i="22" s="1"/>
  <c r="E106" i="22" s="1"/>
  <c r="E107" i="22" s="1"/>
  <c r="E108" i="22" s="1"/>
  <c r="E109" i="22" s="1"/>
  <c r="E110" i="22" s="1"/>
  <c r="E111" i="22" s="1"/>
  <c r="E112" i="22" s="1"/>
  <c r="E113" i="22" s="1"/>
  <c r="E93" i="22"/>
  <c r="E73" i="22"/>
  <c r="E74" i="22" s="1"/>
  <c r="E75" i="22" s="1"/>
  <c r="E76" i="22" s="1"/>
  <c r="E77" i="22" s="1"/>
  <c r="E78" i="22" s="1"/>
  <c r="E79" i="22" s="1"/>
  <c r="E80" i="22" s="1"/>
  <c r="E81" i="22" s="1"/>
  <c r="E82" i="22" s="1"/>
  <c r="E83" i="22" s="1"/>
  <c r="E84" i="22" s="1"/>
  <c r="E85" i="22" s="1"/>
  <c r="E86" i="22" s="1"/>
  <c r="E87" i="22" s="1"/>
  <c r="E88" i="22" s="1"/>
  <c r="E89" i="22" s="1"/>
  <c r="E90" i="22" s="1"/>
  <c r="E91" i="22" s="1"/>
  <c r="E53" i="22"/>
  <c r="E54" i="22" s="1"/>
  <c r="E55" i="22" s="1"/>
  <c r="E56" i="22" s="1"/>
  <c r="E57" i="22" s="1"/>
  <c r="E58" i="22" s="1"/>
  <c r="E59" i="22" s="1"/>
  <c r="E60" i="22" s="1"/>
  <c r="E61" i="22" s="1"/>
  <c r="E62" i="22" s="1"/>
  <c r="E63" i="22" s="1"/>
  <c r="E64" i="22" s="1"/>
  <c r="E65" i="22" s="1"/>
  <c r="E66" i="22" s="1"/>
  <c r="E67" i="22" s="1"/>
  <c r="E68" i="22" s="1"/>
  <c r="E69" i="22" s="1"/>
  <c r="E70" i="22" s="1"/>
  <c r="E71" i="22" s="1"/>
  <c r="E51" i="22"/>
  <c r="E41" i="22"/>
  <c r="E42" i="22" s="1"/>
  <c r="E43" i="22" s="1"/>
  <c r="E44" i="22" s="1"/>
  <c r="E45" i="22" s="1"/>
  <c r="E46" i="22" s="1"/>
  <c r="E47" i="22" s="1"/>
  <c r="E48" i="22" s="1"/>
  <c r="E49" i="22" s="1"/>
  <c r="E35" i="22"/>
  <c r="E36" i="22" s="1"/>
  <c r="E37" i="22" s="1"/>
  <c r="E38" i="22" s="1"/>
  <c r="E39" i="22" s="1"/>
  <c r="E29" i="22"/>
  <c r="E30" i="22" s="1"/>
  <c r="E31" i="22" s="1"/>
  <c r="E32" i="22" s="1"/>
  <c r="E33" i="22" s="1"/>
  <c r="E23" i="22"/>
  <c r="E24" i="22" s="1"/>
  <c r="E25" i="22" s="1"/>
  <c r="E26" i="22" s="1"/>
  <c r="E27" i="22" s="1"/>
  <c r="E16" i="22"/>
  <c r="E17" i="22" s="1"/>
  <c r="E18" i="22" s="1"/>
  <c r="E19" i="22" s="1"/>
  <c r="C4" i="10"/>
  <c r="C5" i="10"/>
</calcChain>
</file>

<file path=xl/sharedStrings.xml><?xml version="1.0" encoding="utf-8"?>
<sst xmlns="http://schemas.openxmlformats.org/spreadsheetml/2006/main" count="2973" uniqueCount="288">
  <si>
    <t>Version</t>
    <phoneticPr fontId="2" type="noConversion"/>
  </si>
  <si>
    <t>Writer</t>
    <phoneticPr fontId="2" type="noConversion"/>
  </si>
  <si>
    <t>INFO</t>
    <phoneticPr fontId="2" type="noConversion"/>
  </si>
  <si>
    <t>Project name</t>
    <phoneticPr fontId="2" type="noConversion"/>
  </si>
  <si>
    <t>Data</t>
    <phoneticPr fontId="2" type="noConversion"/>
  </si>
  <si>
    <t>AQ_TBL_HEADER_SIZE</t>
    <phoneticPr fontId="2" type="noConversion"/>
  </si>
  <si>
    <t>AQ_TBL_HEADER_INFO_VER</t>
    <phoneticPr fontId="2" type="noConversion"/>
  </si>
  <si>
    <t>AQ_TBL_HEADER_WRITER</t>
    <phoneticPr fontId="2" type="noConversion"/>
  </si>
  <si>
    <t>AQ Table Header</t>
    <phoneticPr fontId="2" type="noConversion"/>
  </si>
  <si>
    <t>AQ_TBL_HEADER_INFO_DATE</t>
    <phoneticPr fontId="2" type="noConversion"/>
  </si>
  <si>
    <t>Size</t>
    <phoneticPr fontId="2" type="noConversion"/>
  </si>
  <si>
    <t>DSP</t>
    <phoneticPr fontId="1" type="noConversion"/>
  </si>
  <si>
    <t>Description</t>
    <phoneticPr fontId="1" type="noConversion"/>
  </si>
  <si>
    <t>Parameters</t>
    <phoneticPr fontId="1" type="noConversion"/>
  </si>
  <si>
    <t>AQ_TBL_HEADER_INDEX_0_OFFSET</t>
  </si>
  <si>
    <t>AQ_TBL_HEADER_INFO_PROJECT</t>
  </si>
  <si>
    <t>AQ_TBL_HEADER_INDEX_NUM</t>
    <phoneticPr fontId="3" type="noConversion"/>
  </si>
  <si>
    <t>AQ_TBL_HEADER_INDEX_1_OFFSET</t>
  </si>
  <si>
    <t>Band_01_Fc</t>
  </si>
  <si>
    <t>Band_02_Fc</t>
  </si>
  <si>
    <t>Band_03_Fc</t>
  </si>
  <si>
    <t>Band_04_Fc</t>
  </si>
  <si>
    <t>Band_05_Fc</t>
  </si>
  <si>
    <t>Band_06_Fc</t>
  </si>
  <si>
    <t>Band_07_Fc</t>
  </si>
  <si>
    <t>Band_08_Fc</t>
  </si>
  <si>
    <t>Band_09_Fc</t>
  </si>
  <si>
    <t>Band_10_Fc</t>
  </si>
  <si>
    <t>Band_11_Fc</t>
  </si>
  <si>
    <t>Band_12_Fc</t>
  </si>
  <si>
    <t>Band_13_Fc</t>
  </si>
  <si>
    <t>Band_14_Fc</t>
  </si>
  <si>
    <t>Band_15_Fc</t>
  </si>
  <si>
    <t>Band_16_Fc</t>
  </si>
  <si>
    <t>Band_17_Fc</t>
  </si>
  <si>
    <t>Band_18_Fc</t>
  </si>
  <si>
    <t>Band_19_Fc</t>
  </si>
  <si>
    <t>Band_20_Fc</t>
  </si>
  <si>
    <t>IEQ_nb_bands</t>
  </si>
  <si>
    <t>IEQ_Amount</t>
  </si>
  <si>
    <t>Surr_Decoder_Enable_Disable</t>
  </si>
  <si>
    <t>Virtualizer Mode</t>
  </si>
  <si>
    <t>AC4 DE_level</t>
    <phoneticPr fontId="1" type="noConversion"/>
  </si>
  <si>
    <t>Bass_Enable_Disable</t>
    <phoneticPr fontId="1" type="noConversion"/>
  </si>
  <si>
    <t>Bass_cutoff</t>
    <phoneticPr fontId="1" type="noConversion"/>
  </si>
  <si>
    <t>Bass_width</t>
    <phoneticPr fontId="1" type="noConversion"/>
  </si>
  <si>
    <t>Media Intelligence</t>
    <phoneticPr fontId="1" type="noConversion"/>
  </si>
  <si>
    <t>AQ_TBL_HEADER_INDEX_2_OFFSET</t>
  </si>
  <si>
    <t>AQ_TBL_HEADER_INDEX_3_OFFSET</t>
  </si>
  <si>
    <t>AQ_TBL_HEADER_INDEX_4_OFFSET</t>
  </si>
  <si>
    <t>AQ Version</t>
    <phoneticPr fontId="7" type="noConversion"/>
  </si>
  <si>
    <t>AQ_TBL_HEADER_INDEX_5_OFFSET</t>
  </si>
  <si>
    <t>AQ_TBL_HEADER_INDEX_6_OFFSET</t>
  </si>
  <si>
    <t>AQ_TBL_HEADER_INDEX_7_OFFSET</t>
  </si>
  <si>
    <t>AQ_TBL_HEADER_INDEX_8_OFFSET</t>
  </si>
  <si>
    <t>AQ_TBL_HEADER_INDEX_9_OFFSET</t>
  </si>
  <si>
    <t>AQ_TBL_HEADER_INDEX_10_OFFSET</t>
  </si>
  <si>
    <t>AQ_TBL_HEADER_INDEX_11_OFFSET</t>
  </si>
  <si>
    <t>AQ_TBL_HEADER_INDEX_12_OFFSET</t>
  </si>
  <si>
    <t>AQ_TBL_HEADER_INDEX_13_OFFSET</t>
  </si>
  <si>
    <t>AQ_TBL_HEADER_INDEX_14_OFFSET</t>
  </si>
  <si>
    <t>Philips_EU</t>
    <phoneticPr fontId="3" type="noConversion"/>
  </si>
  <si>
    <t>Surround</t>
    <phoneticPr fontId="1" type="noConversion"/>
  </si>
  <si>
    <t>Dialog Enhancement</t>
    <phoneticPr fontId="1" type="noConversion"/>
  </si>
  <si>
    <t>Bass Enhancer</t>
    <phoneticPr fontId="1" type="noConversion"/>
  </si>
  <si>
    <t>Dolby Speaker Configuration</t>
    <phoneticPr fontId="1" type="noConversion"/>
  </si>
  <si>
    <t>Spk_Config</t>
    <phoneticPr fontId="1" type="noConversion"/>
  </si>
  <si>
    <t>Pre_Gain</t>
    <phoneticPr fontId="1" type="noConversion"/>
  </si>
  <si>
    <t>Post_Gain</t>
    <phoneticPr fontId="1" type="noConversion"/>
  </si>
  <si>
    <t>System_Gain</t>
    <phoneticPr fontId="1" type="noConversion"/>
  </si>
  <si>
    <t>DE_Ducking</t>
    <phoneticPr fontId="1" type="noConversion"/>
  </si>
  <si>
    <t>Graphic EQ</t>
    <phoneticPr fontId="1" type="noConversion"/>
  </si>
  <si>
    <t>GEQ_Enable_Disable</t>
    <phoneticPr fontId="1" type="noConversion"/>
  </si>
  <si>
    <t>GEQ_nb_bands</t>
    <phoneticPr fontId="1" type="noConversion"/>
  </si>
  <si>
    <t>Band Center</t>
    <phoneticPr fontId="1" type="noConversion"/>
  </si>
  <si>
    <t>Band Target</t>
    <phoneticPr fontId="1" type="noConversion"/>
  </si>
  <si>
    <t>Band_01_Target</t>
    <phoneticPr fontId="1" type="noConversion"/>
  </si>
  <si>
    <t>Band_02_Target</t>
    <phoneticPr fontId="1" type="noConversion"/>
  </si>
  <si>
    <t>Band_03_Target</t>
    <phoneticPr fontId="1" type="noConversion"/>
  </si>
  <si>
    <t>Band_04_Target</t>
    <phoneticPr fontId="1" type="noConversion"/>
  </si>
  <si>
    <t>Band_05_Target</t>
    <phoneticPr fontId="1" type="noConversion"/>
  </si>
  <si>
    <t>Band_06_Target</t>
    <phoneticPr fontId="1" type="noConversion"/>
  </si>
  <si>
    <t>Band_07_Target</t>
    <phoneticPr fontId="1" type="noConversion"/>
  </si>
  <si>
    <t>Band_08_Target</t>
    <phoneticPr fontId="1" type="noConversion"/>
  </si>
  <si>
    <t>Band_09_Target</t>
    <phoneticPr fontId="1" type="noConversion"/>
  </si>
  <si>
    <t>Band_10_Target</t>
    <phoneticPr fontId="1" type="noConversion"/>
  </si>
  <si>
    <t>Band_11_Target</t>
    <phoneticPr fontId="1" type="noConversion"/>
  </si>
  <si>
    <t>Band_12_Target</t>
    <phoneticPr fontId="1" type="noConversion"/>
  </si>
  <si>
    <t>Band_13_Target</t>
    <phoneticPr fontId="1" type="noConversion"/>
  </si>
  <si>
    <t>Band_14_Target</t>
    <phoneticPr fontId="1" type="noConversion"/>
  </si>
  <si>
    <t>Band_15_Target</t>
    <phoneticPr fontId="1" type="noConversion"/>
  </si>
  <si>
    <t>Band_16_Target</t>
    <phoneticPr fontId="1" type="noConversion"/>
  </si>
  <si>
    <t>Band_17_Target</t>
    <phoneticPr fontId="1" type="noConversion"/>
  </si>
  <si>
    <t>Band_18_Target</t>
    <phoneticPr fontId="1" type="noConversion"/>
  </si>
  <si>
    <t>Band_19_Target</t>
    <phoneticPr fontId="1" type="noConversion"/>
  </si>
  <si>
    <t>Band_20_Target</t>
    <phoneticPr fontId="1" type="noConversion"/>
  </si>
  <si>
    <t>Graphic EQ(Wallmount)</t>
    <phoneticPr fontId="1" type="noConversion"/>
  </si>
  <si>
    <t>Intelligent EQ</t>
    <phoneticPr fontId="1" type="noConversion"/>
  </si>
  <si>
    <t>IEQ_Enable_Disable</t>
    <phoneticPr fontId="1" type="noConversion"/>
  </si>
  <si>
    <t xml:space="preserve">Band Target </t>
    <phoneticPr fontId="1" type="noConversion"/>
  </si>
  <si>
    <t>TPV</t>
    <phoneticPr fontId="3" type="noConversion"/>
  </si>
  <si>
    <t>00000000</t>
  </si>
  <si>
    <t>AQ_TBL_HEADER_INDEX_15_OFFSET</t>
  </si>
  <si>
    <t>AQ_TBL_HEADER_INDEX_16_OFFSET</t>
  </si>
  <si>
    <t>AQ_TBL_HEADER_INDEX_17_OFFSET</t>
  </si>
  <si>
    <t>AQ_TBL_HEADER_INDEX_18_OFFSET</t>
  </si>
  <si>
    <t>AQ_TBL_HEADER_INDEX_19_OFFSET</t>
  </si>
  <si>
    <t>AQ_TBL_HEADER_INDEX_20_OFFSET</t>
  </si>
  <si>
    <t>AQ_TBL_HEADER_INDEX_21_OFFSET</t>
  </si>
  <si>
    <t>AQ_TBL_HEADER_INDEX_22_OFFSET</t>
  </si>
  <si>
    <t>AQ_TBL_HEADER_INDEX_23_OFFSET</t>
  </si>
  <si>
    <t>AQ_TBL_HEADER_INDEX_24_OFFSET</t>
  </si>
  <si>
    <t>AQ_TBL_HEADER_INDEX_25_OFFSET</t>
  </si>
  <si>
    <t>AQ_TBL_HEADER_INDEX_26_OFFSET</t>
  </si>
  <si>
    <t>AQ_TBL_HEADER_INDEX_27_OFFSET</t>
  </si>
  <si>
    <t>AQ_TBL_HEADER_INDEX_28_OFFSET</t>
  </si>
  <si>
    <t>AQ_TBL_HEADER_INDEX_29_OFFSET</t>
  </si>
  <si>
    <t>AQ_TBL_HEADER_INDEX_30_OFFSET</t>
  </si>
  <si>
    <t>AQ_TBL_HEADER_INDEX_31_OFFSET</t>
  </si>
  <si>
    <t>AQ_TBL_HEADER_INDEX_32_OFFSET</t>
  </si>
  <si>
    <t>AQ_TBL_HEADER_INDEX_33_OFFSET</t>
  </si>
  <si>
    <t>AQ_TBL_HEADER_INDEX_34_OFFSET</t>
  </si>
  <si>
    <t>AQ_TBL_HEADER_INDEX_35_OFFSET</t>
  </si>
  <si>
    <t>AQ_TBL_HEADER_INDEX_36_OFFSET</t>
  </si>
  <si>
    <t>AQ_TBL_HEADER_INDEX_37_OFFSET</t>
  </si>
  <si>
    <t>AQ_TBL_HEADER_INDEX_38_OFFSET</t>
  </si>
  <si>
    <t>AQ_TBL_HEADER_INDEX_39_OFFSET</t>
  </si>
  <si>
    <t>DE_Enable_Disable</t>
    <phoneticPr fontId="9" type="noConversion"/>
  </si>
  <si>
    <t>Entertainment Custom mode</t>
    <phoneticPr fontId="1" type="noConversion"/>
  </si>
  <si>
    <t>Music Custom mode</t>
    <phoneticPr fontId="1" type="noConversion"/>
  </si>
  <si>
    <t>Personal Custom mode</t>
    <phoneticPr fontId="1" type="noConversion"/>
  </si>
  <si>
    <t>Surround Boost max</t>
    <phoneticPr fontId="8" type="noConversion"/>
  </si>
  <si>
    <t>Surround Boost min</t>
    <phoneticPr fontId="8" type="noConversion"/>
  </si>
  <si>
    <t>Surround Boost default</t>
    <phoneticPr fontId="8" type="noConversion"/>
  </si>
  <si>
    <t>DE_Amount max</t>
    <phoneticPr fontId="8" type="noConversion"/>
  </si>
  <si>
    <t>DE_Amount min</t>
    <phoneticPr fontId="8" type="noConversion"/>
  </si>
  <si>
    <t>DE_Amount default</t>
    <phoneticPr fontId="8" type="noConversion"/>
  </si>
  <si>
    <t>Bass_boost max</t>
    <phoneticPr fontId="1" type="noConversion"/>
  </si>
  <si>
    <t>Bass_boost min</t>
    <phoneticPr fontId="1" type="noConversion"/>
  </si>
  <si>
    <t>Bass_boost default</t>
    <phoneticPr fontId="1" type="noConversion"/>
  </si>
  <si>
    <t>PEQ Enable</t>
    <phoneticPr fontId="1" type="noConversion"/>
  </si>
  <si>
    <t>GEQ Enable</t>
    <phoneticPr fontId="1" type="noConversion"/>
  </si>
  <si>
    <t>Entertainment Custom mode</t>
    <phoneticPr fontId="10" type="noConversion"/>
  </si>
  <si>
    <t>Entertainment Preset mode</t>
    <phoneticPr fontId="10" type="noConversion"/>
  </si>
  <si>
    <t>Entertainment-Atmos Preset mode</t>
    <phoneticPr fontId="10" type="noConversion"/>
  </si>
  <si>
    <t>Music Preset mode</t>
    <phoneticPr fontId="10" type="noConversion"/>
  </si>
  <si>
    <t>Music-Atmos Preset mode</t>
    <phoneticPr fontId="10" type="noConversion"/>
  </si>
  <si>
    <t>Dialog Preset mode</t>
    <phoneticPr fontId="10" type="noConversion"/>
  </si>
  <si>
    <t>Music Custom mode</t>
    <phoneticPr fontId="10" type="noConversion"/>
  </si>
  <si>
    <t>Dialog Custom mode</t>
    <phoneticPr fontId="10" type="noConversion"/>
  </si>
  <si>
    <t>DAP AVL Enable</t>
    <phoneticPr fontId="1" type="noConversion"/>
  </si>
  <si>
    <t>DAP AVL</t>
    <phoneticPr fontId="10" type="noConversion"/>
  </si>
  <si>
    <t>Voice Widener</t>
    <phoneticPr fontId="1" type="noConversion"/>
  </si>
  <si>
    <t>UI default setting</t>
    <phoneticPr fontId="8" type="noConversion"/>
  </si>
  <si>
    <t>Dap Atmos or Mode Music</t>
    <phoneticPr fontId="8" type="noConversion"/>
  </si>
  <si>
    <t>drc_type</t>
  </si>
  <si>
    <t>MI_Steering_Enable</t>
  </si>
  <si>
    <t>Speaker Angle</t>
  </si>
  <si>
    <t>Virtual_Bass_Mode</t>
  </si>
  <si>
    <t>Virtual_Bass_Low_Fc</t>
  </si>
  <si>
    <t>Virtual_Bass_High_Fc</t>
  </si>
  <si>
    <t>Virtual_Bass_Overall_Gain</t>
  </si>
  <si>
    <t>Virtual_Bass_Slope_Gain</t>
  </si>
  <si>
    <t>Virtual_Bass_Sub_Gain 1</t>
  </si>
  <si>
    <t>Virtual_Bass_Sub_Gain 2</t>
  </si>
  <si>
    <t>Virtual_Bass_Sub_Gain 3</t>
  </si>
  <si>
    <t>Virtual_Bass_Low_Mix_Freq</t>
  </si>
  <si>
    <t>Virtual_Bass_High_Mix_Freq</t>
  </si>
  <si>
    <t>Virtual_Bass</t>
    <phoneticPr fontId="1" type="noConversion"/>
  </si>
  <si>
    <t>Dialogue Custom mode</t>
    <phoneticPr fontId="1" type="noConversion"/>
  </si>
  <si>
    <t>DE_Ducking</t>
    <phoneticPr fontId="8" type="noConversion"/>
  </si>
  <si>
    <t>calibration_boost</t>
    <phoneticPr fontId="1" type="noConversion"/>
  </si>
  <si>
    <t>Remark</t>
    <phoneticPr fontId="7" type="noConversion"/>
  </si>
  <si>
    <t>Gain (Hex)</t>
  </si>
  <si>
    <t>Date</t>
    <phoneticPr fontId="7" type="noConversion"/>
  </si>
  <si>
    <t>Description</t>
    <phoneticPr fontId="7" type="noConversion"/>
  </si>
  <si>
    <t>V001</t>
  </si>
  <si>
    <r>
      <t>Pre SHARP</t>
    </r>
    <r>
      <rPr>
        <sz val="10"/>
        <color indexed="8"/>
        <rFont val="Calibri"/>
        <family val="2"/>
      </rPr>
      <t xml:space="preserve">  AQ data release</t>
    </r>
    <phoneticPr fontId="1" type="noConversion"/>
  </si>
  <si>
    <t>AndyCy</t>
    <phoneticPr fontId="1" type="noConversion"/>
  </si>
  <si>
    <t>SHARP.001</t>
    <phoneticPr fontId="3" type="noConversion"/>
  </si>
  <si>
    <t>AI mode (Table)</t>
  </si>
  <si>
    <t>Entertainment Preset mode (Table)</t>
  </si>
  <si>
    <t>Entertainment-Atmos Preset mode (Table)</t>
  </si>
  <si>
    <t>Music Preset mode (Table)</t>
  </si>
  <si>
    <t>Music-Atmos Preset mode (Table)</t>
  </si>
  <si>
    <t>Dialog Preset mode (Table)</t>
  </si>
  <si>
    <t>Entertainment Custom mode (Table)</t>
  </si>
  <si>
    <t>Music Custom mode (Table)</t>
  </si>
  <si>
    <t>Dialog Custom mode (Table)</t>
  </si>
  <si>
    <t>AI mode (Wall)</t>
  </si>
  <si>
    <t>Entertainment Preset mode (Wall)</t>
  </si>
  <si>
    <t>Entertainment-Atmos Preset mode (Wall)</t>
  </si>
  <si>
    <t>Music Preset mode (Wall)</t>
  </si>
  <si>
    <t>Music-Atmos Preset mode (Wall)</t>
  </si>
  <si>
    <t>Dialog Preset mode (Wall)</t>
  </si>
  <si>
    <t>Personal Preset mode (Wall)</t>
  </si>
  <si>
    <t>Entertainment Custom mode (Wall)</t>
  </si>
  <si>
    <t>Music Custom mode (Wall)</t>
  </si>
  <si>
    <t>Dialog Custom mode (Wall)</t>
  </si>
  <si>
    <t>Personal Custom mode (Wall)</t>
  </si>
  <si>
    <t>AI mode</t>
  </si>
  <si>
    <t>NVT V3D Surround</t>
  </si>
  <si>
    <t>Entertainment Preset mode</t>
  </si>
  <si>
    <t>Entertainment-Atmos Preset mode</t>
  </si>
  <si>
    <t>Music Preset mode</t>
  </si>
  <si>
    <t>Music-Atmos Preset mode</t>
  </si>
  <si>
    <t>Dialog Preset mode</t>
  </si>
  <si>
    <t>Entertainment Custom mode</t>
  </si>
  <si>
    <t>Music Custom mode</t>
  </si>
  <si>
    <t>Dialog Custom mode</t>
  </si>
  <si>
    <t>Headphone DAP</t>
  </si>
  <si>
    <t>speaker-config</t>
  </si>
  <si>
    <t>dialog-enhancer-amount</t>
  </si>
  <si>
    <t>dialog-enhancer-ducking</t>
  </si>
  <si>
    <t>dialog-enhancer-enable</t>
  </si>
  <si>
    <t>missing</t>
  </si>
  <si>
    <t>postgain</t>
  </si>
  <si>
    <t>pregain</t>
  </si>
  <si>
    <t>system-gain</t>
  </si>
  <si>
    <t>calibration-boost</t>
  </si>
  <si>
    <t>XML Profile name</t>
  </si>
  <si>
    <t>00000001</t>
  </si>
  <si>
    <t>000000FA</t>
  </si>
  <si>
    <t>00000BB8</t>
  </si>
  <si>
    <t>00000005</t>
  </si>
  <si>
    <t>00000004</t>
  </si>
  <si>
    <t>00000006</t>
  </si>
  <si>
    <t>00000190</t>
  </si>
  <si>
    <t>00000010</t>
  </si>
  <si>
    <t>00000050</t>
  </si>
  <si>
    <t>000000C8</t>
  </si>
  <si>
    <t>FFFFFFE0</t>
  </si>
  <si>
    <t>FFFFFF70</t>
  </si>
  <si>
    <t>FFFFFF40</t>
  </si>
  <si>
    <t>0000005E</t>
  </si>
  <si>
    <t>000001D5</t>
  </si>
  <si>
    <t>00000014</t>
  </si>
  <si>
    <t>0000002F</t>
  </si>
  <si>
    <t>0000008D</t>
  </si>
  <si>
    <t>000000EA</t>
  </si>
  <si>
    <t>00000148</t>
  </si>
  <si>
    <t>00000290</t>
  </si>
  <si>
    <t>0000034C</t>
  </si>
  <si>
    <t>00000407</t>
  </si>
  <si>
    <t>00000521</t>
  </si>
  <si>
    <t>00000698</t>
  </si>
  <si>
    <t>000008CA</t>
  </si>
  <si>
    <t>00000EA6</t>
  </si>
  <si>
    <t>00001250</t>
  </si>
  <si>
    <t>000016B5</t>
  </si>
  <si>
    <t>00001BD5</t>
  </si>
  <si>
    <t>00002328</t>
  </si>
  <si>
    <t>00002BF2</t>
  </si>
  <si>
    <t>00003633</t>
  </si>
  <si>
    <t>00004CE8</t>
  </si>
  <si>
    <t>000001E0</t>
  </si>
  <si>
    <t>0000017C</t>
  </si>
  <si>
    <t>00000168</t>
  </si>
  <si>
    <t>00000140</t>
  </si>
  <si>
    <t>00000154</t>
  </si>
  <si>
    <t>0000014A</t>
  </si>
  <si>
    <t>00000104</t>
  </si>
  <si>
    <t>FFFFFFC4</t>
  </si>
  <si>
    <t>00000060</t>
  </si>
  <si>
    <t>Personal Custom mode</t>
  </si>
  <si>
    <t>Dialogue Custom mode</t>
  </si>
  <si>
    <t>DAP Audio settings in the XLS file (AQ.bin)</t>
  </si>
  <si>
    <t>DAP Audio settings in XML file</t>
  </si>
  <si>
    <t>Movie</t>
  </si>
  <si>
    <t>Voice</t>
  </si>
  <si>
    <t>XML parameter name</t>
  </si>
  <si>
    <t>Music</t>
  </si>
  <si>
    <t>User Selectable</t>
  </si>
  <si>
    <t>DAP Audio settings in XLS file</t>
  </si>
  <si>
    <t>bass-enhancer-enable</t>
  </si>
  <si>
    <t>bass-enhancer-boost</t>
  </si>
  <si>
    <t>bass-enhancer-width</t>
  </si>
  <si>
    <t>bass-enhancer-cutoff-frequency</t>
  </si>
  <si>
    <t>graphic-equalizer-enable</t>
  </si>
  <si>
    <t>graphic-equalizer-bands</t>
  </si>
  <si>
    <t>ieq-enable</t>
  </si>
  <si>
    <t>eq-amount</t>
  </si>
  <si>
    <t>ieq-bands</t>
  </si>
  <si>
    <t>&lt;graphic-equalizer-bands</t>
  </si>
  <si>
    <t>surround-boost</t>
  </si>
  <si>
    <t>surround-decoder-enable</t>
  </si>
  <si>
    <t>virtualizer-enable</t>
  </si>
  <si>
    <t>XML parameter value (DEC)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</si>
</sst>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2"/>
      <color theme="1"/>
      <name val="Calibri"/>
      <family val="1"/>
      <charset val="136"/>
      <scheme val="minor"/>
    </font>
    <font>
      <sz val="9"/>
      <name val="新細明體"/>
      <family val="1"/>
      <charset val="136"/>
    </font>
    <font>
      <sz val="9"/>
      <name val="新細明體"/>
      <family val="1"/>
      <charset val="136"/>
    </font>
    <font>
      <sz val="9"/>
      <name val="新細明體"/>
      <family val="1"/>
      <charset val="136"/>
    </font>
    <font>
      <b/>
      <sz val="16"/>
      <color indexed="8"/>
      <name val="新細明體"/>
      <family val="1"/>
      <charset val="136"/>
    </font>
    <font>
      <sz val="16"/>
      <color indexed="8"/>
      <name val="新細明體"/>
      <family val="1"/>
      <charset val="136"/>
    </font>
    <font>
      <sz val="10"/>
      <name val="Arial"/>
      <family val="2"/>
    </font>
    <font>
      <sz val="9"/>
      <name val="新細明體"/>
      <family val="1"/>
      <charset val="136"/>
    </font>
    <font>
      <sz val="9"/>
      <name val="宋体"/>
      <charset val="134"/>
    </font>
    <font>
      <sz val="9"/>
      <name val="宋体"/>
      <charset val="134"/>
    </font>
    <font>
      <sz val="9"/>
      <name val="宋体"/>
      <charset val="134"/>
    </font>
    <font>
      <b/>
      <sz val="12"/>
      <color indexed="8"/>
      <name val="Calibri"/>
      <family val="2"/>
    </font>
    <font>
      <sz val="10"/>
      <color indexed="8"/>
      <name val="Calibri"/>
      <family val="2"/>
    </font>
    <font>
      <sz val="8"/>
      <name val="Calibri"/>
      <family val="1"/>
      <charset val="136"/>
    </font>
    <font>
      <sz val="12"/>
      <color theme="1"/>
      <name val="Calibri"/>
      <family val="1"/>
      <charset val="136"/>
      <scheme val="minor"/>
    </font>
    <font>
      <sz val="12"/>
      <color rgb="FF9C0006"/>
      <name val="Calibri"/>
      <family val="1"/>
      <charset val="136"/>
      <scheme val="minor"/>
    </font>
    <font>
      <u/>
      <sz val="12"/>
      <color theme="10"/>
      <name val="Calibri"/>
      <family val="1"/>
      <charset val="136"/>
      <scheme val="minor"/>
    </font>
    <font>
      <sz val="16"/>
      <color rgb="FF000000"/>
      <name val="新細明體"/>
      <family val="1"/>
      <charset val="136"/>
    </font>
    <font>
      <sz val="10"/>
      <color theme="1"/>
      <name val="Calibri"/>
      <family val="2"/>
    </font>
    <font>
      <b/>
      <sz val="10"/>
      <color theme="1"/>
      <name val="Calibri"/>
      <family val="2"/>
    </font>
    <font>
      <sz val="12"/>
      <color theme="1"/>
      <name val="Calibri"/>
      <family val="2"/>
    </font>
    <font>
      <sz val="9"/>
      <color theme="1"/>
      <name val="Calibri"/>
      <family val="2"/>
    </font>
    <font>
      <sz val="9"/>
      <color theme="1"/>
      <name val="Calibri Light"/>
      <family val="2"/>
    </font>
    <font>
      <b/>
      <sz val="9"/>
      <color theme="1"/>
      <name val="Calibri"/>
      <family val="2"/>
    </font>
    <font>
      <sz val="9"/>
      <color theme="1"/>
      <name val="Calibri"/>
      <family val="1"/>
      <charset val="136"/>
      <scheme val="minor"/>
    </font>
    <font>
      <sz val="9"/>
      <color theme="0"/>
      <name val="Calibri"/>
      <family val="2"/>
    </font>
    <font>
      <b/>
      <i/>
      <sz val="9"/>
      <color theme="1"/>
      <name val="Calibri"/>
      <family val="2"/>
      <charset val="238"/>
    </font>
    <font>
      <b/>
      <i/>
      <sz val="9"/>
      <color theme="0"/>
      <name val="Calibri"/>
      <family val="2"/>
      <charset val="238"/>
    </font>
    <font>
      <b/>
      <i/>
      <sz val="9"/>
      <color theme="0" tint="-4.9989318521683403E-2"/>
      <name val="Calibri"/>
      <family val="2"/>
      <charset val="238"/>
    </font>
    <font>
      <sz val="10"/>
      <color theme="1"/>
      <name val="Arial"/>
      <family val="2"/>
      <charset val="238"/>
    </font>
    <font>
      <sz val="10"/>
      <color rgb="FF881280"/>
      <name val="Courier New"/>
      <family val="3"/>
      <charset val="238"/>
    </font>
  </fonts>
  <fills count="14">
    <fill>
      <patternFill patternType="none"/>
    </fill>
    <fill>
      <patternFill patternType="gray125"/>
    </fill>
    <fill>
      <patternFill patternType="solid">
        <fgColor indexed="10"/>
        <bgColor indexed="64"/>
      </patternFill>
    </fill>
    <fill>
      <patternFill patternType="solid">
        <fgColor indexed="13"/>
        <bgColor indexed="64"/>
      </patternFill>
    </fill>
    <fill>
      <patternFill patternType="solid">
        <fgColor indexed="50"/>
        <bgColor indexed="64"/>
      </patternFill>
    </fill>
    <fill>
      <patternFill patternType="solid">
        <fgColor indexed="17"/>
        <bgColor indexed="64"/>
      </patternFill>
    </fill>
    <fill>
      <patternFill patternType="solid">
        <fgColor rgb="FFFFC7CE"/>
      </patternFill>
    </fill>
    <fill>
      <patternFill patternType="solid">
        <fgColor theme="8" tint="0.39997558519241921"/>
        <bgColor indexed="64"/>
      </patternFill>
    </fill>
    <fill>
      <patternFill patternType="solid">
        <fgColor theme="0" tint="-0.14999847407452621"/>
        <bgColor indexed="64"/>
      </patternFill>
    </fill>
    <fill>
      <patternFill patternType="solid">
        <fgColor theme="3" tint="0.39997558519241921"/>
        <bgColor indexed="64"/>
      </patternFill>
    </fill>
    <fill>
      <patternFill patternType="solid">
        <fgColor theme="4"/>
        <bgColor indexed="64"/>
      </patternFill>
    </fill>
    <fill>
      <patternFill patternType="solid">
        <fgColor rgb="FF00FF00"/>
        <bgColor indexed="64"/>
      </patternFill>
    </fill>
    <fill>
      <patternFill patternType="solid">
        <fgColor rgb="FFFFFF00"/>
        <bgColor indexed="64"/>
      </patternFill>
    </fill>
    <fill>
      <patternFill patternType="solid">
        <fgColor rgb="FFFFC000"/>
        <bgColor indexed="64"/>
      </patternFill>
    </fill>
  </fills>
  <borders count="29">
    <border>
      <left/>
      <right/>
      <top/>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0">
    <xf numFmtId="0" fontId="0" fillId="0" borderId="0">
      <alignment vertical="center"/>
    </xf>
    <xf numFmtId="0" fontId="6"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5" fillId="6" borderId="0" applyNumberFormat="0" applyBorder="0" applyAlignment="0" applyProtection="0">
      <alignment vertical="center"/>
    </xf>
    <xf numFmtId="0" fontId="14" fillId="0" borderId="0">
      <alignment vertical="center"/>
    </xf>
    <xf numFmtId="0" fontId="16" fillId="0" borderId="0" applyNumberFormat="0" applyFill="0" applyBorder="0" applyAlignment="0" applyProtection="0">
      <alignment vertical="center"/>
    </xf>
  </cellStyleXfs>
  <cellXfs count="78">
    <xf numFmtId="0" fontId="0" fillId="0" borderId="0" xfId="0">
      <alignment vertical="center"/>
    </xf>
    <xf numFmtId="0" fontId="4" fillId="2" borderId="1" xfId="0" applyFont="1" applyFill="1" applyBorder="1">
      <alignment vertical="center"/>
    </xf>
    <xf numFmtId="0" fontId="4" fillId="2" borderId="2" xfId="0" applyFont="1" applyFill="1" applyBorder="1">
      <alignment vertical="center"/>
    </xf>
    <xf numFmtId="0" fontId="5" fillId="2" borderId="3" xfId="0" applyFont="1" applyFill="1" applyBorder="1" applyAlignment="1">
      <alignment horizontal="left" vertical="center"/>
    </xf>
    <xf numFmtId="0" fontId="4" fillId="2" borderId="4" xfId="0" applyFont="1" applyFill="1" applyBorder="1">
      <alignment vertical="center"/>
    </xf>
    <xf numFmtId="49" fontId="5" fillId="3" borderId="3" xfId="0" applyNumberFormat="1" applyFont="1" applyFill="1" applyBorder="1" applyAlignment="1">
      <alignment horizontal="left" vertical="center"/>
    </xf>
    <xf numFmtId="0" fontId="17" fillId="3" borderId="5" xfId="0" applyFont="1" applyFill="1" applyBorder="1" applyAlignment="1">
      <alignment horizontal="left" vertical="center"/>
    </xf>
    <xf numFmtId="14" fontId="5" fillId="3" borderId="3" xfId="0" applyNumberFormat="1" applyFont="1" applyFill="1" applyBorder="1" applyAlignment="1">
      <alignment horizontal="left" vertical="center"/>
    </xf>
    <xf numFmtId="0" fontId="18" fillId="0" borderId="6" xfId="0" applyFont="1" applyBorder="1" applyAlignment="1">
      <alignment horizontal="left" vertical="top"/>
    </xf>
    <xf numFmtId="0" fontId="19" fillId="7" borderId="6" xfId="0" applyFont="1" applyFill="1" applyBorder="1" applyAlignment="1">
      <alignment horizontal="left" vertical="top"/>
    </xf>
    <xf numFmtId="0" fontId="18" fillId="0" borderId="0" xfId="0" applyFont="1" applyAlignment="1">
      <alignment horizontal="left" vertical="top"/>
    </xf>
    <xf numFmtId="49" fontId="18" fillId="0" borderId="6" xfId="0" applyNumberFormat="1" applyFont="1" applyBorder="1" applyAlignment="1">
      <alignment horizontal="left" vertical="top"/>
    </xf>
    <xf numFmtId="0" fontId="18" fillId="0" borderId="6" xfId="0" applyFont="1" applyBorder="1" applyAlignment="1">
      <alignment horizontal="left" vertical="top" wrapText="1"/>
    </xf>
    <xf numFmtId="0" fontId="20" fillId="0" borderId="0" xfId="0" applyFont="1" applyAlignment="1">
      <alignment horizontal="left" vertical="top"/>
    </xf>
    <xf numFmtId="0" fontId="20" fillId="4" borderId="7" xfId="0" applyFont="1" applyFill="1" applyBorder="1" applyAlignment="1">
      <alignment horizontal="left" vertical="top"/>
    </xf>
    <xf numFmtId="0" fontId="20" fillId="4" borderId="8" xfId="0" applyFont="1" applyFill="1" applyBorder="1" applyAlignment="1">
      <alignment horizontal="left" vertical="top"/>
    </xf>
    <xf numFmtId="0" fontId="20" fillId="5" borderId="9" xfId="0" applyFont="1" applyFill="1" applyBorder="1" applyAlignment="1">
      <alignment horizontal="left" vertical="top"/>
    </xf>
    <xf numFmtId="0" fontId="20" fillId="4" borderId="6" xfId="0" applyFont="1" applyFill="1" applyBorder="1" applyAlignment="1">
      <alignment horizontal="left" vertical="top"/>
    </xf>
    <xf numFmtId="0" fontId="20" fillId="4" borderId="10" xfId="0" applyFont="1" applyFill="1" applyBorder="1" applyAlignment="1">
      <alignment horizontal="left" vertical="top"/>
    </xf>
    <xf numFmtId="0" fontId="20" fillId="5" borderId="11" xfId="0" applyFont="1" applyFill="1" applyBorder="1" applyAlignment="1">
      <alignment horizontal="left" vertical="top"/>
    </xf>
    <xf numFmtId="14" fontId="20" fillId="4" borderId="10" xfId="0" applyNumberFormat="1" applyFont="1" applyFill="1" applyBorder="1" applyAlignment="1">
      <alignment horizontal="left" vertical="top"/>
    </xf>
    <xf numFmtId="49" fontId="20" fillId="4" borderId="10" xfId="0" applyNumberFormat="1" applyFont="1" applyFill="1" applyBorder="1" applyAlignment="1">
      <alignment horizontal="left" vertical="top"/>
    </xf>
    <xf numFmtId="0" fontId="20" fillId="4" borderId="12" xfId="0" applyFont="1" applyFill="1" applyBorder="1" applyAlignment="1">
      <alignment horizontal="left" vertical="top"/>
    </xf>
    <xf numFmtId="0" fontId="20" fillId="5" borderId="13" xfId="0" applyFont="1" applyFill="1" applyBorder="1" applyAlignment="1">
      <alignment horizontal="left" vertical="top"/>
    </xf>
    <xf numFmtId="0" fontId="20" fillId="4" borderId="14" xfId="0" applyFont="1" applyFill="1" applyBorder="1" applyAlignment="1">
      <alignment horizontal="left" vertical="top"/>
    </xf>
    <xf numFmtId="0" fontId="20" fillId="4" borderId="15" xfId="0" applyFont="1" applyFill="1" applyBorder="1" applyAlignment="1">
      <alignment horizontal="left" vertical="top"/>
    </xf>
    <xf numFmtId="0" fontId="20" fillId="5" borderId="16" xfId="0" applyFont="1" applyFill="1" applyBorder="1" applyAlignment="1">
      <alignment horizontal="left" vertical="top"/>
    </xf>
    <xf numFmtId="14" fontId="18" fillId="0" borderId="6" xfId="0" applyNumberFormat="1" applyFont="1" applyBorder="1" applyAlignment="1">
      <alignment horizontal="left" vertical="top"/>
    </xf>
    <xf numFmtId="14" fontId="18" fillId="0" borderId="6" xfId="0" applyNumberFormat="1" applyFont="1" applyBorder="1" applyAlignment="1">
      <alignment horizontal="left" vertical="top" wrapText="1"/>
    </xf>
    <xf numFmtId="0" fontId="18" fillId="0" borderId="0" xfId="0" applyFont="1" applyAlignment="1">
      <alignment horizontal="left" vertical="top" wrapText="1"/>
    </xf>
    <xf numFmtId="49" fontId="18" fillId="0" borderId="17" xfId="0" applyNumberFormat="1" applyFont="1" applyBorder="1" applyAlignment="1">
      <alignment horizontal="left" vertical="top"/>
    </xf>
    <xf numFmtId="0" fontId="18" fillId="0" borderId="17" xfId="0" applyFont="1" applyBorder="1" applyAlignment="1">
      <alignment horizontal="left" vertical="top"/>
    </xf>
    <xf numFmtId="14" fontId="18" fillId="0" borderId="17" xfId="0" applyNumberFormat="1" applyFont="1" applyBorder="1" applyAlignment="1">
      <alignment horizontal="left" vertical="top" wrapText="1"/>
    </xf>
    <xf numFmtId="0" fontId="21" fillId="0" borderId="6" xfId="0" applyFont="1" applyBorder="1" applyAlignment="1" applyProtection="1">
      <alignment horizontal="left" vertical="top"/>
      <protection hidden="1"/>
    </xf>
    <xf numFmtId="0" fontId="21" fillId="0" borderId="6" xfId="0" applyFont="1" applyBorder="1" applyAlignment="1">
      <alignment horizontal="left" vertical="top"/>
    </xf>
    <xf numFmtId="0" fontId="21" fillId="0" borderId="6" xfId="1" applyFont="1" applyBorder="1" applyAlignment="1" applyProtection="1">
      <alignment horizontal="left" vertical="top"/>
      <protection hidden="1"/>
    </xf>
    <xf numFmtId="0" fontId="22" fillId="0" borderId="6" xfId="0" applyFont="1" applyBorder="1" applyAlignment="1">
      <alignment horizontal="left" vertical="top"/>
    </xf>
    <xf numFmtId="0" fontId="21" fillId="0" borderId="17" xfId="0" applyFont="1" applyBorder="1" applyAlignment="1">
      <alignment horizontal="left" vertical="top"/>
    </xf>
    <xf numFmtId="14" fontId="19" fillId="7" borderId="6" xfId="0" applyNumberFormat="1" applyFont="1" applyFill="1" applyBorder="1" applyAlignment="1">
      <alignment horizontal="left" vertical="top"/>
    </xf>
    <xf numFmtId="14" fontId="18" fillId="0" borderId="0" xfId="0" applyNumberFormat="1" applyFont="1" applyAlignment="1">
      <alignment horizontal="left" vertical="top"/>
    </xf>
    <xf numFmtId="0" fontId="18" fillId="0" borderId="6" xfId="0" applyFont="1" applyBorder="1" applyAlignment="1">
      <alignment horizontal="left" vertical="center" wrapText="1"/>
    </xf>
    <xf numFmtId="0" fontId="18" fillId="0" borderId="6" xfId="0" applyFont="1" applyBorder="1" applyAlignment="1">
      <alignment horizontal="left" vertical="center"/>
    </xf>
    <xf numFmtId="14" fontId="18" fillId="0" borderId="6" xfId="0" applyNumberFormat="1" applyFont="1" applyBorder="1" applyAlignment="1">
      <alignment horizontal="left" vertical="center"/>
    </xf>
    <xf numFmtId="49" fontId="18" fillId="0" borderId="6" xfId="0" applyNumberFormat="1" applyFont="1" applyBorder="1" applyAlignment="1">
      <alignment horizontal="center" vertical="center"/>
    </xf>
    <xf numFmtId="49" fontId="18" fillId="0" borderId="6" xfId="0" applyNumberFormat="1" applyFont="1" applyBorder="1" applyAlignment="1">
      <alignment horizontal="center" vertical="top"/>
    </xf>
    <xf numFmtId="0" fontId="18" fillId="0" borderId="6" xfId="0" applyFont="1" applyBorder="1" applyAlignment="1">
      <alignment horizontal="center" vertical="top" wrapText="1"/>
    </xf>
    <xf numFmtId="0" fontId="23" fillId="0" borderId="19" xfId="0" applyFont="1" applyBorder="1" applyAlignment="1">
      <alignment horizontal="left" vertical="top"/>
    </xf>
    <xf numFmtId="0" fontId="21" fillId="0" borderId="19" xfId="0" applyFont="1" applyBorder="1" applyAlignment="1">
      <alignment horizontal="left" vertical="top"/>
    </xf>
    <xf numFmtId="0" fontId="24" fillId="0" borderId="0" xfId="0" applyFont="1">
      <alignment vertical="center"/>
    </xf>
    <xf numFmtId="0" fontId="21" fillId="0" borderId="0" xfId="0" applyFont="1" applyAlignment="1" applyProtection="1">
      <alignment horizontal="left" vertical="top"/>
      <protection locked="0"/>
    </xf>
    <xf numFmtId="0" fontId="21" fillId="0" borderId="6" xfId="0" applyFont="1" applyBorder="1" applyAlignment="1" applyProtection="1">
      <alignment horizontal="left" vertical="top"/>
      <protection locked="0"/>
    </xf>
    <xf numFmtId="0" fontId="21" fillId="2" borderId="0" xfId="0" applyFont="1" applyFill="1" applyAlignment="1" applyProtection="1">
      <alignment horizontal="left" vertical="top"/>
      <protection locked="0"/>
    </xf>
    <xf numFmtId="0" fontId="25" fillId="9" borderId="17" xfId="0" applyFont="1" applyFill="1" applyBorder="1" applyAlignment="1">
      <alignment horizontal="left" vertical="top"/>
    </xf>
    <xf numFmtId="0" fontId="21" fillId="12" borderId="6" xfId="0" applyFont="1" applyFill="1" applyBorder="1" applyAlignment="1">
      <alignment horizontal="left" vertical="top"/>
    </xf>
    <xf numFmtId="0" fontId="21" fillId="13" borderId="6" xfId="1" applyFont="1" applyFill="1" applyBorder="1" applyAlignment="1" applyProtection="1">
      <alignment horizontal="left" vertical="top"/>
      <protection hidden="1"/>
    </xf>
    <xf numFmtId="0" fontId="21" fillId="13" borderId="6" xfId="0" applyFont="1" applyFill="1" applyBorder="1" applyAlignment="1" applyProtection="1">
      <alignment horizontal="left" vertical="top"/>
      <protection hidden="1"/>
    </xf>
    <xf numFmtId="0" fontId="21" fillId="13" borderId="6" xfId="0" applyFont="1" applyFill="1" applyBorder="1" applyAlignment="1">
      <alignment horizontal="left" vertical="top"/>
    </xf>
    <xf numFmtId="0" fontId="21" fillId="11" borderId="6" xfId="0" applyFont="1" applyFill="1" applyBorder="1" applyAlignment="1">
      <alignment horizontal="left" vertical="top"/>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11" fillId="4" borderId="21" xfId="0" applyFont="1" applyFill="1" applyBorder="1" applyAlignment="1">
      <alignment horizontal="left" vertical="top"/>
    </xf>
    <xf numFmtId="0" fontId="11" fillId="4" borderId="22" xfId="0" applyFont="1" applyFill="1" applyBorder="1" applyAlignment="1">
      <alignment horizontal="left" vertical="top"/>
    </xf>
    <xf numFmtId="0" fontId="11" fillId="4" borderId="23" xfId="0" applyFont="1" applyFill="1" applyBorder="1" applyAlignment="1">
      <alignment horizontal="left" vertical="top"/>
    </xf>
    <xf numFmtId="0" fontId="27" fillId="9" borderId="17" xfId="0" applyFont="1" applyFill="1" applyBorder="1" applyAlignment="1">
      <alignment horizontal="left" vertical="top"/>
    </xf>
    <xf numFmtId="0" fontId="27" fillId="9" borderId="20" xfId="0" applyFont="1" applyFill="1" applyBorder="1" applyAlignment="1">
      <alignment horizontal="left" vertical="top"/>
    </xf>
    <xf numFmtId="0" fontId="28" fillId="10" borderId="17" xfId="0" applyFont="1" applyFill="1" applyBorder="1" applyAlignment="1" applyProtection="1">
      <alignment horizontal="left" vertical="top"/>
      <protection locked="0"/>
    </xf>
    <xf numFmtId="0" fontId="26" fillId="8" borderId="26" xfId="0" applyFont="1" applyFill="1" applyBorder="1" applyAlignment="1" applyProtection="1">
      <alignment horizontal="center" vertical="top"/>
      <protection locked="0"/>
    </xf>
    <xf numFmtId="0" fontId="26" fillId="8" borderId="18" xfId="0" applyFont="1" applyFill="1" applyBorder="1" applyAlignment="1" applyProtection="1">
      <alignment horizontal="center" vertical="top"/>
      <protection locked="0"/>
    </xf>
    <xf numFmtId="0" fontId="26" fillId="8" borderId="20" xfId="0" applyFont="1" applyFill="1" applyBorder="1" applyAlignment="1">
      <alignment horizontal="left" vertical="top"/>
    </xf>
    <xf numFmtId="0" fontId="23" fillId="0" borderId="27" xfId="0" applyFont="1" applyBorder="1" applyAlignment="1">
      <alignment horizontal="left" vertical="top"/>
    </xf>
    <xf numFmtId="0" fontId="21" fillId="0" borderId="27" xfId="0" applyFont="1" applyBorder="1" applyAlignment="1">
      <alignment horizontal="left" vertical="top"/>
    </xf>
    <xf numFmtId="0" fontId="29" fillId="0" borderId="6" xfId="0" applyFont="1" applyBorder="1">
      <alignment vertical="center"/>
    </xf>
    <xf numFmtId="0" fontId="21" fillId="0" borderId="6" xfId="0" applyFont="1" applyFill="1" applyBorder="1" applyAlignment="1">
      <alignment horizontal="left" vertical="top"/>
    </xf>
    <xf numFmtId="0" fontId="26" fillId="8" borderId="6" xfId="0" applyFont="1" applyFill="1" applyBorder="1" applyAlignment="1" applyProtection="1">
      <alignment horizontal="center" vertical="top"/>
      <protection locked="0"/>
    </xf>
    <xf numFmtId="0" fontId="26" fillId="8" borderId="12" xfId="0" applyFont="1" applyFill="1" applyBorder="1" applyAlignment="1" applyProtection="1">
      <alignment horizontal="center" vertical="top"/>
      <protection locked="0"/>
    </xf>
    <xf numFmtId="0" fontId="26" fillId="8" borderId="28" xfId="0" applyFont="1" applyFill="1" applyBorder="1" applyAlignment="1" applyProtection="1">
      <alignment horizontal="center" vertical="top"/>
      <protection locked="0"/>
    </xf>
    <xf numFmtId="0" fontId="26" fillId="8" borderId="27" xfId="0" applyFont="1" applyFill="1" applyBorder="1" applyAlignment="1" applyProtection="1">
      <alignment horizontal="center" vertical="top"/>
      <protection locked="0"/>
    </xf>
    <xf numFmtId="0" fontId="30" fillId="11" borderId="0" xfId="0" applyFont="1" applyFill="1">
      <alignment vertical="center"/>
    </xf>
  </cellXfs>
  <cellStyles count="10">
    <cellStyle name="Normal" xfId="0" builtinId="0"/>
    <cellStyle name="Normal_Full map model" xfId="1" xr:uid="{3D91CE18-6FA4-4527-BC56-C43FC005425E}"/>
    <cellStyle name="一般 2" xfId="2" xr:uid="{FCF90566-7350-40A3-ACD6-FFECCDBEE6E0}"/>
    <cellStyle name="一般 2 2" xfId="3" xr:uid="{92DEE4CD-8A0B-4EF0-9E87-9416CB156537}"/>
    <cellStyle name="一般 3" xfId="4" xr:uid="{9907D1EA-5731-489F-9AAD-5541AFABA135}"/>
    <cellStyle name="一般 3 2" xfId="5" xr:uid="{2044CCDE-6890-4555-818A-77D2784827A0}"/>
    <cellStyle name="一般 4" xfId="6" xr:uid="{6B623132-56B1-4E0E-B7D0-BBC53649D24E}"/>
    <cellStyle name="差 2" xfId="7" xr:uid="{4B2993EA-74FD-4A6E-BEA9-A57F810AC392}"/>
    <cellStyle name="常规 2" xfId="8" xr:uid="{29309368-AE7F-4D2F-9DE4-3706891C4A8E}"/>
    <cellStyle name="超連結 2" xfId="9" xr:uid="{CA192BB8-2E43-44A8-BEB2-6DB94063E009}"/>
  </cellStyles>
  <dxfs count="32">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
      <fill>
        <patternFill>
          <bgColor rgb="FFFF0000"/>
        </patternFill>
      </fill>
    </dxf>
    <dxf>
      <fill>
        <patternFill>
          <bgColor rgb="FF00FF0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1C2AA-2049-4AB7-BF1F-4834A91D8353}">
  <sheetPr codeName="工作表10"/>
  <dimension ref="B1:C7"/>
  <sheetViews>
    <sheetView zoomScale="70" zoomScaleNormal="70" workbookViewId="0">
      <selection activeCell="C3" sqref="C3:C4"/>
    </sheetView>
  </sheetViews>
  <sheetFormatPr defaultRowHeight="15.75"/>
  <cols>
    <col min="2" max="2" width="16.75" bestFit="1" customWidth="1"/>
    <col min="3" max="3" width="36.375" bestFit="1" customWidth="1"/>
  </cols>
  <sheetData>
    <row r="1" spans="2:3" ht="16.5" thickBot="1"/>
    <row r="2" spans="2:3" ht="21" thickTop="1" thickBot="1">
      <c r="B2" s="58" t="s">
        <v>2</v>
      </c>
      <c r="C2" s="59"/>
    </row>
    <row r="3" spans="2:3" ht="20.25" thickTop="1">
      <c r="B3" s="1" t="s">
        <v>3</v>
      </c>
      <c r="C3" s="5" t="s">
        <v>61</v>
      </c>
    </row>
    <row r="4" spans="2:3" ht="19.5">
      <c r="B4" s="2" t="s">
        <v>4</v>
      </c>
      <c r="C4" s="7">
        <f ca="1">TODAY()</f>
        <v>46167</v>
      </c>
    </row>
    <row r="5" spans="2:3" ht="19.5">
      <c r="B5" s="2" t="s">
        <v>0</v>
      </c>
      <c r="C5" s="3" t="e">
        <f>CONCATENATE(#REF!,".",#REF!)</f>
        <v>#REF!</v>
      </c>
    </row>
    <row r="6" spans="2:3" ht="20.25" thickBot="1">
      <c r="B6" s="4" t="s">
        <v>1</v>
      </c>
      <c r="C6" s="6" t="s">
        <v>100</v>
      </c>
    </row>
    <row r="7" spans="2:3" ht="16.5" thickTop="1"/>
  </sheetData>
  <mergeCells count="1">
    <mergeCell ref="B2:C2"/>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01C15-6679-43EE-BD4B-9ACF703E67D1}">
  <sheetPr filterMode="1"/>
  <dimension ref="A1:G670"/>
  <sheetViews>
    <sheetView tabSelected="1" topLeftCell="A13" zoomScale="85" zoomScaleNormal="85" workbookViewId="0">
      <pane ySplit="2" topLeftCell="A15" activePane="bottomLeft" state="frozen"/>
      <selection activeCell="A14" sqref="A14"/>
      <selection pane="bottomLeft" activeCell="B343" sqref="B343:B506"/>
    </sheetView>
  </sheetViews>
  <sheetFormatPr defaultColWidth="8.75" defaultRowHeight="12"/>
  <cols>
    <col min="1" max="3" width="19.5" style="48" customWidth="1"/>
    <col min="4" max="4" width="27.5" style="48" customWidth="1"/>
    <col min="5" max="5" width="22.875" style="48" customWidth="1"/>
    <col min="6" max="6" width="19.5" style="48" bestFit="1" customWidth="1"/>
    <col min="7" max="16384" width="8.75" style="48"/>
  </cols>
  <sheetData>
    <row r="1" spans="1:7" ht="12" hidden="1" customHeight="1">
      <c r="A1" s="49"/>
      <c r="B1" s="49"/>
      <c r="C1" s="49"/>
      <c r="D1" s="73" t="s">
        <v>266</v>
      </c>
      <c r="E1" s="73"/>
      <c r="F1" s="73"/>
      <c r="G1" s="73"/>
    </row>
    <row r="2" spans="1:7" ht="12" hidden="1" customHeight="1">
      <c r="A2" s="49"/>
      <c r="B2" s="49"/>
      <c r="C2" s="49"/>
      <c r="D2" s="73"/>
      <c r="E2" s="73"/>
      <c r="F2" s="73"/>
      <c r="G2" s="73"/>
    </row>
    <row r="3" spans="1:7" ht="12" hidden="1" customHeight="1">
      <c r="A3" s="49"/>
      <c r="B3" s="49"/>
      <c r="C3" s="49"/>
      <c r="D3" s="73"/>
      <c r="E3" s="73"/>
      <c r="F3" s="73"/>
      <c r="G3" s="73"/>
    </row>
    <row r="4" spans="1:7" ht="12" hidden="1" customHeight="1">
      <c r="A4" s="49"/>
      <c r="B4" s="49"/>
      <c r="C4" s="49"/>
      <c r="D4" s="73"/>
      <c r="E4" s="73"/>
      <c r="F4" s="73"/>
      <c r="G4" s="73"/>
    </row>
    <row r="5" spans="1:7" ht="12" hidden="1" customHeight="1">
      <c r="A5" s="49"/>
      <c r="B5" s="49"/>
      <c r="C5" s="49"/>
      <c r="D5" s="73"/>
      <c r="E5" s="73"/>
      <c r="F5" s="73"/>
      <c r="G5" s="73"/>
    </row>
    <row r="6" spans="1:7" ht="12" hidden="1" customHeight="1">
      <c r="A6" s="51"/>
      <c r="B6" s="51"/>
      <c r="C6" s="51"/>
      <c r="D6" s="73"/>
      <c r="E6" s="73"/>
      <c r="F6" s="73"/>
      <c r="G6" s="73"/>
    </row>
    <row r="7" spans="1:7" ht="12" hidden="1" customHeight="1">
      <c r="A7" s="49"/>
      <c r="B7" s="49"/>
      <c r="C7" s="49"/>
      <c r="D7" s="73"/>
      <c r="E7" s="73"/>
      <c r="F7" s="73"/>
      <c r="G7" s="73"/>
    </row>
    <row r="8" spans="1:7" ht="12" hidden="1" customHeight="1">
      <c r="A8" s="49"/>
      <c r="B8" s="49"/>
      <c r="C8" s="49"/>
      <c r="D8" s="73"/>
      <c r="E8" s="73"/>
      <c r="F8" s="73"/>
      <c r="G8" s="73"/>
    </row>
    <row r="9" spans="1:7" ht="12" hidden="1" customHeight="1">
      <c r="A9" s="49"/>
      <c r="B9" s="49"/>
      <c r="C9" s="49"/>
      <c r="D9" s="73"/>
      <c r="E9" s="73"/>
      <c r="F9" s="73"/>
      <c r="G9" s="73"/>
    </row>
    <row r="10" spans="1:7" ht="12" hidden="1" customHeight="1">
      <c r="A10" s="49"/>
      <c r="B10" s="49"/>
      <c r="C10" s="49"/>
      <c r="D10" s="73"/>
      <c r="E10" s="73"/>
      <c r="F10" s="73"/>
      <c r="G10" s="73"/>
    </row>
    <row r="11" spans="1:7" ht="12" hidden="1" customHeight="1">
      <c r="A11" s="49"/>
      <c r="B11" s="49"/>
      <c r="C11" s="49"/>
      <c r="D11" s="73"/>
      <c r="E11" s="73"/>
      <c r="F11" s="73"/>
      <c r="G11" s="73"/>
    </row>
    <row r="12" spans="1:7" ht="12" hidden="1" customHeight="1">
      <c r="A12" s="49"/>
      <c r="B12" s="49"/>
      <c r="C12" s="49"/>
      <c r="D12" s="73"/>
      <c r="E12" s="73"/>
      <c r="F12" s="73"/>
      <c r="G12" s="73"/>
    </row>
    <row r="13" spans="1:7">
      <c r="A13" s="66" t="s">
        <v>267</v>
      </c>
      <c r="B13" s="67"/>
      <c r="C13" s="67"/>
      <c r="D13" s="74" t="s">
        <v>273</v>
      </c>
      <c r="E13" s="75"/>
      <c r="F13" s="75"/>
      <c r="G13" s="76"/>
    </row>
    <row r="14" spans="1:7">
      <c r="A14" s="68" t="s">
        <v>220</v>
      </c>
      <c r="B14" s="68" t="s">
        <v>270</v>
      </c>
      <c r="C14" s="68" t="s">
        <v>287</v>
      </c>
      <c r="D14" s="63" t="s">
        <v>11</v>
      </c>
      <c r="E14" s="63" t="s">
        <v>12</v>
      </c>
      <c r="F14" s="64" t="s">
        <v>13</v>
      </c>
      <c r="G14" s="65" t="s">
        <v>173</v>
      </c>
    </row>
    <row r="15" spans="1:7" ht="12" customHeight="1">
      <c r="A15" s="34" t="s">
        <v>268</v>
      </c>
      <c r="B15" s="57" t="s">
        <v>211</v>
      </c>
      <c r="C15" s="34"/>
      <c r="D15" s="46" t="s">
        <v>128</v>
      </c>
      <c r="E15" s="35" t="s">
        <v>65</v>
      </c>
      <c r="F15" s="34" t="s">
        <v>66</v>
      </c>
      <c r="G15" s="50" t="s">
        <v>101</v>
      </c>
    </row>
    <row r="16" spans="1:7">
      <c r="A16" s="34" t="s">
        <v>268</v>
      </c>
      <c r="B16" s="57" t="s">
        <v>217</v>
      </c>
      <c r="C16" s="34"/>
      <c r="D16" s="47" t="s">
        <v>207</v>
      </c>
      <c r="E16" s="35" t="str">
        <f>E15</f>
        <v>Dolby Speaker Configuration</v>
      </c>
      <c r="F16" s="34" t="s">
        <v>67</v>
      </c>
      <c r="G16" s="50" t="s">
        <v>101</v>
      </c>
    </row>
    <row r="17" spans="1:7">
      <c r="A17" s="34" t="s">
        <v>268</v>
      </c>
      <c r="B17" s="57" t="s">
        <v>216</v>
      </c>
      <c r="C17" s="34"/>
      <c r="D17" s="47" t="s">
        <v>207</v>
      </c>
      <c r="E17" s="35" t="str">
        <f>E16</f>
        <v>Dolby Speaker Configuration</v>
      </c>
      <c r="F17" s="34" t="s">
        <v>68</v>
      </c>
      <c r="G17" s="50" t="s">
        <v>101</v>
      </c>
    </row>
    <row r="18" spans="1:7">
      <c r="A18" s="34" t="s">
        <v>268</v>
      </c>
      <c r="B18" s="57" t="s">
        <v>218</v>
      </c>
      <c r="C18" s="34"/>
      <c r="D18" s="47" t="s">
        <v>207</v>
      </c>
      <c r="E18" s="35" t="str">
        <f>E17</f>
        <v>Dolby Speaker Configuration</v>
      </c>
      <c r="F18" s="34" t="s">
        <v>69</v>
      </c>
      <c r="G18" s="50" t="s">
        <v>101</v>
      </c>
    </row>
    <row r="19" spans="1:7">
      <c r="A19" s="34" t="s">
        <v>268</v>
      </c>
      <c r="B19" s="72"/>
      <c r="C19" s="34"/>
      <c r="D19" s="47" t="s">
        <v>207</v>
      </c>
      <c r="E19" s="35" t="str">
        <f>E18</f>
        <v>Dolby Speaker Configuration</v>
      </c>
      <c r="F19" s="34" t="s">
        <v>155</v>
      </c>
      <c r="G19" s="50" t="s">
        <v>221</v>
      </c>
    </row>
    <row r="20" spans="1:7">
      <c r="A20" s="34" t="s">
        <v>268</v>
      </c>
      <c r="B20" s="57" t="s">
        <v>219</v>
      </c>
      <c r="C20" s="34"/>
      <c r="D20" s="47" t="s">
        <v>207</v>
      </c>
      <c r="E20" s="35" t="s">
        <v>171</v>
      </c>
      <c r="F20" s="34" t="s">
        <v>171</v>
      </c>
      <c r="G20" s="50" t="s">
        <v>101</v>
      </c>
    </row>
    <row r="21" spans="1:7">
      <c r="A21" s="34" t="s">
        <v>268</v>
      </c>
      <c r="B21" s="34"/>
      <c r="C21" s="34"/>
      <c r="D21" s="47" t="s">
        <v>207</v>
      </c>
      <c r="E21" s="35" t="s">
        <v>46</v>
      </c>
      <c r="F21" s="34" t="s">
        <v>156</v>
      </c>
      <c r="G21" s="50" t="s">
        <v>101</v>
      </c>
    </row>
    <row r="22" spans="1:7">
      <c r="A22" s="34" t="s">
        <v>268</v>
      </c>
      <c r="B22" s="57" t="s">
        <v>214</v>
      </c>
      <c r="C22" s="34"/>
      <c r="D22" s="47" t="s">
        <v>207</v>
      </c>
      <c r="E22" s="35" t="s">
        <v>63</v>
      </c>
      <c r="F22" s="34" t="s">
        <v>127</v>
      </c>
      <c r="G22" s="50" t="s">
        <v>101</v>
      </c>
    </row>
    <row r="23" spans="1:7">
      <c r="A23" s="34" t="s">
        <v>268</v>
      </c>
      <c r="B23" s="53" t="s">
        <v>212</v>
      </c>
      <c r="C23" s="34"/>
      <c r="D23" s="47" t="s">
        <v>207</v>
      </c>
      <c r="E23" s="35" t="str">
        <f>E22</f>
        <v>Dialog Enhancement</v>
      </c>
      <c r="F23" s="34" t="s">
        <v>134</v>
      </c>
      <c r="G23" s="50" t="s">
        <v>228</v>
      </c>
    </row>
    <row r="24" spans="1:7">
      <c r="A24" s="34" t="s">
        <v>268</v>
      </c>
      <c r="B24" s="53" t="s">
        <v>212</v>
      </c>
      <c r="C24" s="34"/>
      <c r="D24" s="47" t="s">
        <v>207</v>
      </c>
      <c r="E24" s="35" t="str">
        <f>E23</f>
        <v>Dialog Enhancement</v>
      </c>
      <c r="F24" s="34" t="s">
        <v>135</v>
      </c>
      <c r="G24" s="50" t="s">
        <v>101</v>
      </c>
    </row>
    <row r="25" spans="1:7">
      <c r="A25" s="34" t="s">
        <v>268</v>
      </c>
      <c r="B25" s="57" t="s">
        <v>212</v>
      </c>
      <c r="C25" s="34"/>
      <c r="D25" s="47" t="s">
        <v>207</v>
      </c>
      <c r="E25" s="35" t="str">
        <f>E24</f>
        <v>Dialog Enhancement</v>
      </c>
      <c r="F25" s="34" t="s">
        <v>136</v>
      </c>
      <c r="G25" s="50" t="s">
        <v>225</v>
      </c>
    </row>
    <row r="26" spans="1:7">
      <c r="A26" s="34" t="s">
        <v>268</v>
      </c>
      <c r="B26" s="57" t="s">
        <v>213</v>
      </c>
      <c r="C26" s="34"/>
      <c r="D26" s="47" t="s">
        <v>207</v>
      </c>
      <c r="E26" s="35" t="str">
        <f>E25</f>
        <v>Dialog Enhancement</v>
      </c>
      <c r="F26" s="34" t="s">
        <v>70</v>
      </c>
      <c r="G26" s="50" t="s">
        <v>101</v>
      </c>
    </row>
    <row r="27" spans="1:7">
      <c r="A27" s="34" t="s">
        <v>268</v>
      </c>
      <c r="B27" s="53" t="s">
        <v>215</v>
      </c>
      <c r="C27" s="34"/>
      <c r="D27" s="47" t="s">
        <v>207</v>
      </c>
      <c r="E27" s="35" t="str">
        <f>E26</f>
        <v>Dialog Enhancement</v>
      </c>
      <c r="F27" s="34" t="s">
        <v>42</v>
      </c>
      <c r="G27" s="50" t="s">
        <v>225</v>
      </c>
    </row>
    <row r="28" spans="1:7">
      <c r="A28" s="34" t="s">
        <v>268</v>
      </c>
      <c r="B28" s="57" t="s">
        <v>285</v>
      </c>
      <c r="C28" s="34"/>
      <c r="D28" s="47" t="s">
        <v>207</v>
      </c>
      <c r="E28" s="33" t="s">
        <v>62</v>
      </c>
      <c r="F28" s="34" t="s">
        <v>40</v>
      </c>
      <c r="G28" s="50" t="s">
        <v>101</v>
      </c>
    </row>
    <row r="29" spans="1:7">
      <c r="A29" s="34" t="s">
        <v>268</v>
      </c>
      <c r="B29" s="53" t="s">
        <v>286</v>
      </c>
      <c r="C29" s="34"/>
      <c r="D29" s="47" t="s">
        <v>207</v>
      </c>
      <c r="E29" s="35" t="str">
        <f>E28</f>
        <v>Surround</v>
      </c>
      <c r="F29" s="34" t="s">
        <v>41</v>
      </c>
      <c r="G29" s="50" t="s">
        <v>101</v>
      </c>
    </row>
    <row r="30" spans="1:7">
      <c r="A30" s="34" t="s">
        <v>268</v>
      </c>
      <c r="B30" s="34"/>
      <c r="C30" s="34"/>
      <c r="D30" s="47" t="s">
        <v>207</v>
      </c>
      <c r="E30" s="35" t="str">
        <f>E29</f>
        <v>Surround</v>
      </c>
      <c r="F30" s="34" t="s">
        <v>157</v>
      </c>
      <c r="G30" s="50" t="s">
        <v>224</v>
      </c>
    </row>
    <row r="31" spans="1:7">
      <c r="A31" s="34" t="s">
        <v>268</v>
      </c>
      <c r="B31" s="53" t="s">
        <v>284</v>
      </c>
      <c r="C31" s="34"/>
      <c r="D31" s="47" t="s">
        <v>207</v>
      </c>
      <c r="E31" s="35" t="str">
        <f>E30</f>
        <v>Surround</v>
      </c>
      <c r="F31" s="34" t="s">
        <v>131</v>
      </c>
      <c r="G31" s="50" t="s">
        <v>263</v>
      </c>
    </row>
    <row r="32" spans="1:7">
      <c r="A32" s="34" t="s">
        <v>268</v>
      </c>
      <c r="B32" s="53" t="s">
        <v>284</v>
      </c>
      <c r="C32" s="34"/>
      <c r="D32" s="47" t="s">
        <v>207</v>
      </c>
      <c r="E32" s="35" t="str">
        <f>E31</f>
        <v>Surround</v>
      </c>
      <c r="F32" s="34" t="s">
        <v>132</v>
      </c>
      <c r="G32" s="50" t="s">
        <v>101</v>
      </c>
    </row>
    <row r="33" spans="1:7">
      <c r="A33" s="34" t="s">
        <v>268</v>
      </c>
      <c r="B33" s="57" t="s">
        <v>284</v>
      </c>
      <c r="C33" s="34"/>
      <c r="D33" s="47" t="s">
        <v>207</v>
      </c>
      <c r="E33" s="35" t="str">
        <f>E32</f>
        <v>Surround</v>
      </c>
      <c r="F33" s="34" t="s">
        <v>133</v>
      </c>
      <c r="G33" s="50" t="s">
        <v>101</v>
      </c>
    </row>
    <row r="34" spans="1:7">
      <c r="A34" s="34" t="s">
        <v>268</v>
      </c>
      <c r="B34" s="57" t="s">
        <v>274</v>
      </c>
      <c r="C34" s="34"/>
      <c r="D34" s="47" t="s">
        <v>207</v>
      </c>
      <c r="E34" s="35" t="s">
        <v>64</v>
      </c>
      <c r="F34" s="34" t="s">
        <v>43</v>
      </c>
      <c r="G34" s="50" t="s">
        <v>101</v>
      </c>
    </row>
    <row r="35" spans="1:7">
      <c r="A35" s="34" t="s">
        <v>268</v>
      </c>
      <c r="B35" s="53" t="s">
        <v>275</v>
      </c>
      <c r="C35" s="34"/>
      <c r="D35" s="47" t="s">
        <v>207</v>
      </c>
      <c r="E35" s="35" t="str">
        <f>E34</f>
        <v>Bass Enhancer</v>
      </c>
      <c r="F35" s="34" t="s">
        <v>137</v>
      </c>
      <c r="G35" s="50" t="s">
        <v>263</v>
      </c>
    </row>
    <row r="36" spans="1:7">
      <c r="A36" s="34" t="s">
        <v>268</v>
      </c>
      <c r="B36" s="53" t="s">
        <v>275</v>
      </c>
      <c r="C36" s="34"/>
      <c r="D36" s="47" t="s">
        <v>207</v>
      </c>
      <c r="E36" s="35" t="str">
        <f>E35</f>
        <v>Bass Enhancer</v>
      </c>
      <c r="F36" s="34" t="s">
        <v>138</v>
      </c>
      <c r="G36" s="50" t="s">
        <v>101</v>
      </c>
    </row>
    <row r="37" spans="1:7">
      <c r="A37" s="34" t="s">
        <v>268</v>
      </c>
      <c r="B37" s="57" t="s">
        <v>275</v>
      </c>
      <c r="C37" s="34"/>
      <c r="D37" s="47" t="s">
        <v>207</v>
      </c>
      <c r="E37" s="35" t="str">
        <f>E36</f>
        <v>Bass Enhancer</v>
      </c>
      <c r="F37" s="34" t="s">
        <v>139</v>
      </c>
      <c r="G37" s="50" t="s">
        <v>101</v>
      </c>
    </row>
    <row r="38" spans="1:7">
      <c r="A38" s="34" t="s">
        <v>268</v>
      </c>
      <c r="B38" s="57" t="s">
        <v>277</v>
      </c>
      <c r="C38" s="34"/>
      <c r="D38" s="47" t="s">
        <v>207</v>
      </c>
      <c r="E38" s="35" t="str">
        <f>E37</f>
        <v>Bass Enhancer</v>
      </c>
      <c r="F38" s="34" t="s">
        <v>44</v>
      </c>
      <c r="G38" s="50" t="s">
        <v>222</v>
      </c>
    </row>
    <row r="39" spans="1:7">
      <c r="A39" s="34" t="s">
        <v>268</v>
      </c>
      <c r="B39" s="57" t="s">
        <v>276</v>
      </c>
      <c r="C39" s="34"/>
      <c r="D39" s="47" t="s">
        <v>207</v>
      </c>
      <c r="E39" s="35" t="str">
        <f>E38</f>
        <v>Bass Enhancer</v>
      </c>
      <c r="F39" s="34" t="s">
        <v>45</v>
      </c>
      <c r="G39" s="50" t="s">
        <v>228</v>
      </c>
    </row>
    <row r="40" spans="1:7">
      <c r="A40" s="34" t="s">
        <v>268</v>
      </c>
      <c r="B40" s="36"/>
      <c r="C40" s="36"/>
      <c r="D40" s="47" t="s">
        <v>207</v>
      </c>
      <c r="E40" s="34" t="s">
        <v>168</v>
      </c>
      <c r="F40" s="36" t="s">
        <v>158</v>
      </c>
      <c r="G40" s="50" t="s">
        <v>101</v>
      </c>
    </row>
    <row r="41" spans="1:7">
      <c r="A41" s="34" t="s">
        <v>268</v>
      </c>
      <c r="B41" s="36"/>
      <c r="C41" s="36"/>
      <c r="D41" s="47" t="s">
        <v>207</v>
      </c>
      <c r="E41" s="35" t="str">
        <f t="shared" ref="E41:E49" si="0">E40</f>
        <v>Virtual_Bass</v>
      </c>
      <c r="F41" s="36" t="s">
        <v>159</v>
      </c>
      <c r="G41" s="50" t="s">
        <v>229</v>
      </c>
    </row>
    <row r="42" spans="1:7">
      <c r="A42" s="34" t="s">
        <v>268</v>
      </c>
      <c r="B42" s="36"/>
      <c r="C42" s="36"/>
      <c r="D42" s="47" t="s">
        <v>207</v>
      </c>
      <c r="E42" s="35" t="str">
        <f t="shared" si="0"/>
        <v>Virtual_Bass</v>
      </c>
      <c r="F42" s="36" t="s">
        <v>160</v>
      </c>
      <c r="G42" s="50" t="s">
        <v>230</v>
      </c>
    </row>
    <row r="43" spans="1:7">
      <c r="A43" s="34" t="s">
        <v>268</v>
      </c>
      <c r="B43" s="36"/>
      <c r="C43" s="36"/>
      <c r="D43" s="47" t="s">
        <v>207</v>
      </c>
      <c r="E43" s="35" t="str">
        <f t="shared" si="0"/>
        <v>Virtual_Bass</v>
      </c>
      <c r="F43" s="36" t="s">
        <v>161</v>
      </c>
      <c r="G43" s="50" t="s">
        <v>101</v>
      </c>
    </row>
    <row r="44" spans="1:7">
      <c r="A44" s="34" t="s">
        <v>268</v>
      </c>
      <c r="B44" s="36"/>
      <c r="C44" s="36"/>
      <c r="D44" s="47" t="s">
        <v>207</v>
      </c>
      <c r="E44" s="35" t="str">
        <f t="shared" si="0"/>
        <v>Virtual_Bass</v>
      </c>
      <c r="F44" s="36" t="s">
        <v>162</v>
      </c>
      <c r="G44" s="50" t="s">
        <v>101</v>
      </c>
    </row>
    <row r="45" spans="1:7">
      <c r="A45" s="34" t="s">
        <v>268</v>
      </c>
      <c r="B45" s="36"/>
      <c r="C45" s="36"/>
      <c r="D45" s="47" t="s">
        <v>207</v>
      </c>
      <c r="E45" s="35" t="str">
        <f t="shared" si="0"/>
        <v>Virtual_Bass</v>
      </c>
      <c r="F45" s="36" t="s">
        <v>163</v>
      </c>
      <c r="G45" s="50" t="s">
        <v>231</v>
      </c>
    </row>
    <row r="46" spans="1:7">
      <c r="A46" s="34" t="s">
        <v>268</v>
      </c>
      <c r="B46" s="36"/>
      <c r="C46" s="36"/>
      <c r="D46" s="47" t="s">
        <v>207</v>
      </c>
      <c r="E46" s="35" t="str">
        <f t="shared" si="0"/>
        <v>Virtual_Bass</v>
      </c>
      <c r="F46" s="36" t="s">
        <v>164</v>
      </c>
      <c r="G46" s="50" t="s">
        <v>232</v>
      </c>
    </row>
    <row r="47" spans="1:7">
      <c r="A47" s="34" t="s">
        <v>268</v>
      </c>
      <c r="B47" s="36"/>
      <c r="C47" s="36"/>
      <c r="D47" s="47" t="s">
        <v>207</v>
      </c>
      <c r="E47" s="35" t="str">
        <f t="shared" si="0"/>
        <v>Virtual_Bass</v>
      </c>
      <c r="F47" s="36" t="s">
        <v>165</v>
      </c>
      <c r="G47" s="50" t="s">
        <v>233</v>
      </c>
    </row>
    <row r="48" spans="1:7">
      <c r="A48" s="34" t="s">
        <v>268</v>
      </c>
      <c r="B48" s="36"/>
      <c r="C48" s="36"/>
      <c r="D48" s="47" t="s">
        <v>207</v>
      </c>
      <c r="E48" s="35" t="str">
        <f t="shared" si="0"/>
        <v>Virtual_Bass</v>
      </c>
      <c r="F48" s="36" t="s">
        <v>166</v>
      </c>
      <c r="G48" s="50" t="s">
        <v>234</v>
      </c>
    </row>
    <row r="49" spans="1:7">
      <c r="A49" s="34" t="s">
        <v>268</v>
      </c>
      <c r="B49" s="36"/>
      <c r="C49" s="36"/>
      <c r="D49" s="47" t="s">
        <v>207</v>
      </c>
      <c r="E49" s="35" t="str">
        <f t="shared" si="0"/>
        <v>Virtual_Bass</v>
      </c>
      <c r="F49" s="36" t="s">
        <v>167</v>
      </c>
      <c r="G49" s="50" t="s">
        <v>235</v>
      </c>
    </row>
    <row r="50" spans="1:7">
      <c r="A50" s="34" t="s">
        <v>268</v>
      </c>
      <c r="B50" s="57" t="s">
        <v>278</v>
      </c>
      <c r="C50" s="34"/>
      <c r="D50" s="47" t="s">
        <v>207</v>
      </c>
      <c r="E50" s="34" t="s">
        <v>71</v>
      </c>
      <c r="F50" s="34" t="s">
        <v>72</v>
      </c>
      <c r="G50" s="50" t="s">
        <v>101</v>
      </c>
    </row>
    <row r="51" spans="1:7">
      <c r="A51" s="34" t="s">
        <v>268</v>
      </c>
      <c r="B51" s="53" t="s">
        <v>279</v>
      </c>
      <c r="C51" s="34"/>
      <c r="D51" s="47" t="s">
        <v>207</v>
      </c>
      <c r="E51" s="35" t="str">
        <f>E50</f>
        <v>Graphic EQ</v>
      </c>
      <c r="F51" s="34" t="s">
        <v>73</v>
      </c>
      <c r="G51" s="50" t="s">
        <v>236</v>
      </c>
    </row>
    <row r="52" spans="1:7">
      <c r="A52" s="34" t="s">
        <v>268</v>
      </c>
      <c r="B52" s="53" t="s">
        <v>279</v>
      </c>
      <c r="C52" s="34"/>
      <c r="D52" s="47" t="s">
        <v>207</v>
      </c>
      <c r="E52" s="35" t="s">
        <v>74</v>
      </c>
      <c r="F52" s="34" t="s">
        <v>18</v>
      </c>
      <c r="G52" s="50" t="s">
        <v>237</v>
      </c>
    </row>
    <row r="53" spans="1:7">
      <c r="A53" s="34" t="s">
        <v>268</v>
      </c>
      <c r="B53" s="34"/>
      <c r="C53" s="34"/>
      <c r="D53" s="47" t="s">
        <v>207</v>
      </c>
      <c r="E53" s="35" t="str">
        <f t="shared" ref="E53:E71" si="1">E52</f>
        <v>Band Center</v>
      </c>
      <c r="F53" s="34" t="s">
        <v>19</v>
      </c>
      <c r="G53" s="50" t="s">
        <v>238</v>
      </c>
    </row>
    <row r="54" spans="1:7">
      <c r="A54" s="34" t="s">
        <v>268</v>
      </c>
      <c r="B54" s="34"/>
      <c r="C54" s="34"/>
      <c r="D54" s="47" t="s">
        <v>207</v>
      </c>
      <c r="E54" s="35" t="str">
        <f t="shared" si="1"/>
        <v>Band Center</v>
      </c>
      <c r="F54" s="34" t="s">
        <v>20</v>
      </c>
      <c r="G54" s="50" t="s">
        <v>239</v>
      </c>
    </row>
    <row r="55" spans="1:7">
      <c r="A55" s="34" t="s">
        <v>268</v>
      </c>
      <c r="B55" s="34"/>
      <c r="C55" s="34"/>
      <c r="D55" s="47" t="s">
        <v>207</v>
      </c>
      <c r="E55" s="35" t="str">
        <f t="shared" si="1"/>
        <v>Band Center</v>
      </c>
      <c r="F55" s="34" t="s">
        <v>21</v>
      </c>
      <c r="G55" s="50" t="s">
        <v>240</v>
      </c>
    </row>
    <row r="56" spans="1:7">
      <c r="A56" s="34" t="s">
        <v>268</v>
      </c>
      <c r="B56" s="34"/>
      <c r="C56" s="34"/>
      <c r="D56" s="47" t="s">
        <v>207</v>
      </c>
      <c r="E56" s="35" t="str">
        <f t="shared" si="1"/>
        <v>Band Center</v>
      </c>
      <c r="F56" s="34" t="s">
        <v>22</v>
      </c>
      <c r="G56" s="50" t="s">
        <v>235</v>
      </c>
    </row>
    <row r="57" spans="1:7">
      <c r="A57" s="34" t="s">
        <v>268</v>
      </c>
      <c r="B57" s="34"/>
      <c r="C57" s="34"/>
      <c r="D57" s="47" t="s">
        <v>207</v>
      </c>
      <c r="E57" s="35" t="str">
        <f t="shared" si="1"/>
        <v>Band Center</v>
      </c>
      <c r="F57" s="34" t="s">
        <v>23</v>
      </c>
      <c r="G57" s="50" t="s">
        <v>241</v>
      </c>
    </row>
    <row r="58" spans="1:7">
      <c r="A58" s="34" t="s">
        <v>268</v>
      </c>
      <c r="B58" s="34"/>
      <c r="C58" s="34"/>
      <c r="D58" s="47" t="s">
        <v>207</v>
      </c>
      <c r="E58" s="35" t="str">
        <f t="shared" si="1"/>
        <v>Band Center</v>
      </c>
      <c r="F58" s="34" t="s">
        <v>24</v>
      </c>
      <c r="G58" s="50" t="s">
        <v>242</v>
      </c>
    </row>
    <row r="59" spans="1:7">
      <c r="A59" s="34" t="s">
        <v>268</v>
      </c>
      <c r="B59" s="34"/>
      <c r="C59" s="34"/>
      <c r="D59" s="47" t="s">
        <v>207</v>
      </c>
      <c r="E59" s="35" t="str">
        <f t="shared" si="1"/>
        <v>Band Center</v>
      </c>
      <c r="F59" s="34" t="s">
        <v>25</v>
      </c>
      <c r="G59" s="50" t="s">
        <v>243</v>
      </c>
    </row>
    <row r="60" spans="1:7">
      <c r="A60" s="34" t="s">
        <v>268</v>
      </c>
      <c r="B60" s="34"/>
      <c r="C60" s="34"/>
      <c r="D60" s="47" t="s">
        <v>207</v>
      </c>
      <c r="E60" s="35" t="str">
        <f t="shared" si="1"/>
        <v>Band Center</v>
      </c>
      <c r="F60" s="34" t="s">
        <v>26</v>
      </c>
      <c r="G60" s="50" t="s">
        <v>244</v>
      </c>
    </row>
    <row r="61" spans="1:7">
      <c r="A61" s="34" t="s">
        <v>268</v>
      </c>
      <c r="B61" s="34"/>
      <c r="C61" s="34"/>
      <c r="D61" s="47" t="s">
        <v>207</v>
      </c>
      <c r="E61" s="35" t="str">
        <f t="shared" si="1"/>
        <v>Band Center</v>
      </c>
      <c r="F61" s="34" t="s">
        <v>27</v>
      </c>
      <c r="G61" s="50" t="s">
        <v>245</v>
      </c>
    </row>
    <row r="62" spans="1:7">
      <c r="A62" s="34" t="s">
        <v>268</v>
      </c>
      <c r="B62" s="34"/>
      <c r="C62" s="34"/>
      <c r="D62" s="47" t="s">
        <v>207</v>
      </c>
      <c r="E62" s="35" t="str">
        <f t="shared" si="1"/>
        <v>Band Center</v>
      </c>
      <c r="F62" s="34" t="s">
        <v>28</v>
      </c>
      <c r="G62" s="50" t="s">
        <v>246</v>
      </c>
    </row>
    <row r="63" spans="1:7">
      <c r="A63" s="34" t="s">
        <v>268</v>
      </c>
      <c r="B63" s="34"/>
      <c r="C63" s="34"/>
      <c r="D63" s="47" t="s">
        <v>207</v>
      </c>
      <c r="E63" s="35" t="str">
        <f t="shared" si="1"/>
        <v>Band Center</v>
      </c>
      <c r="F63" s="34" t="s">
        <v>29</v>
      </c>
      <c r="G63" s="50" t="s">
        <v>223</v>
      </c>
    </row>
    <row r="64" spans="1:7">
      <c r="A64" s="34" t="s">
        <v>268</v>
      </c>
      <c r="B64" s="34"/>
      <c r="C64" s="34"/>
      <c r="D64" s="47" t="s">
        <v>207</v>
      </c>
      <c r="E64" s="35" t="str">
        <f t="shared" si="1"/>
        <v>Band Center</v>
      </c>
      <c r="F64" s="34" t="s">
        <v>30</v>
      </c>
      <c r="G64" s="50" t="s">
        <v>247</v>
      </c>
    </row>
    <row r="65" spans="1:7">
      <c r="A65" s="34" t="s">
        <v>268</v>
      </c>
      <c r="B65" s="34"/>
      <c r="C65" s="34"/>
      <c r="D65" s="47" t="s">
        <v>207</v>
      </c>
      <c r="E65" s="35" t="str">
        <f t="shared" si="1"/>
        <v>Band Center</v>
      </c>
      <c r="F65" s="34" t="s">
        <v>31</v>
      </c>
      <c r="G65" s="50" t="s">
        <v>248</v>
      </c>
    </row>
    <row r="66" spans="1:7">
      <c r="A66" s="34" t="s">
        <v>268</v>
      </c>
      <c r="B66" s="34"/>
      <c r="C66" s="34"/>
      <c r="D66" s="47" t="s">
        <v>207</v>
      </c>
      <c r="E66" s="35" t="str">
        <f t="shared" si="1"/>
        <v>Band Center</v>
      </c>
      <c r="F66" s="34" t="s">
        <v>32</v>
      </c>
      <c r="G66" s="50" t="s">
        <v>249</v>
      </c>
    </row>
    <row r="67" spans="1:7">
      <c r="A67" s="34" t="s">
        <v>268</v>
      </c>
      <c r="B67" s="34"/>
      <c r="C67" s="34"/>
      <c r="D67" s="47" t="s">
        <v>207</v>
      </c>
      <c r="E67" s="35" t="str">
        <f t="shared" si="1"/>
        <v>Band Center</v>
      </c>
      <c r="F67" s="34" t="s">
        <v>33</v>
      </c>
      <c r="G67" s="50" t="s">
        <v>250</v>
      </c>
    </row>
    <row r="68" spans="1:7">
      <c r="A68" s="34" t="s">
        <v>268</v>
      </c>
      <c r="B68" s="34"/>
      <c r="C68" s="34"/>
      <c r="D68" s="47" t="s">
        <v>207</v>
      </c>
      <c r="E68" s="35" t="str">
        <f t="shared" si="1"/>
        <v>Band Center</v>
      </c>
      <c r="F68" s="34" t="s">
        <v>34</v>
      </c>
      <c r="G68" s="50" t="s">
        <v>251</v>
      </c>
    </row>
    <row r="69" spans="1:7">
      <c r="A69" s="34" t="s">
        <v>268</v>
      </c>
      <c r="B69" s="34"/>
      <c r="C69" s="34"/>
      <c r="D69" s="47" t="s">
        <v>207</v>
      </c>
      <c r="E69" s="35" t="str">
        <f t="shared" si="1"/>
        <v>Band Center</v>
      </c>
      <c r="F69" s="34" t="s">
        <v>35</v>
      </c>
      <c r="G69" s="50" t="s">
        <v>252</v>
      </c>
    </row>
    <row r="70" spans="1:7">
      <c r="A70" s="34" t="s">
        <v>268</v>
      </c>
      <c r="B70" s="34"/>
      <c r="C70" s="34"/>
      <c r="D70" s="47" t="s">
        <v>207</v>
      </c>
      <c r="E70" s="35" t="str">
        <f t="shared" si="1"/>
        <v>Band Center</v>
      </c>
      <c r="F70" s="34" t="s">
        <v>36</v>
      </c>
      <c r="G70" s="50" t="s">
        <v>253</v>
      </c>
    </row>
    <row r="71" spans="1:7">
      <c r="A71" s="34" t="s">
        <v>268</v>
      </c>
      <c r="B71" s="34"/>
      <c r="C71" s="34"/>
      <c r="D71" s="47" t="s">
        <v>207</v>
      </c>
      <c r="E71" s="35" t="str">
        <f t="shared" si="1"/>
        <v>Band Center</v>
      </c>
      <c r="F71" s="34" t="s">
        <v>37</v>
      </c>
      <c r="G71" s="50" t="s">
        <v>254</v>
      </c>
    </row>
    <row r="72" spans="1:7">
      <c r="A72" s="34" t="s">
        <v>268</v>
      </c>
      <c r="B72" s="34"/>
      <c r="C72" s="34"/>
      <c r="D72" s="47" t="s">
        <v>207</v>
      </c>
      <c r="E72" s="35" t="s">
        <v>75</v>
      </c>
      <c r="F72" s="34" t="s">
        <v>76</v>
      </c>
      <c r="G72" s="50" t="s">
        <v>101</v>
      </c>
    </row>
    <row r="73" spans="1:7">
      <c r="A73" s="34" t="s">
        <v>268</v>
      </c>
      <c r="B73" s="34"/>
      <c r="C73" s="34"/>
      <c r="D73" s="47" t="s">
        <v>207</v>
      </c>
      <c r="E73" s="35" t="str">
        <f t="shared" ref="E73:E91" si="2">E72</f>
        <v>Band Target</v>
      </c>
      <c r="F73" s="34" t="s">
        <v>77</v>
      </c>
      <c r="G73" s="50" t="s">
        <v>101</v>
      </c>
    </row>
    <row r="74" spans="1:7">
      <c r="A74" s="34" t="s">
        <v>268</v>
      </c>
      <c r="B74" s="34"/>
      <c r="C74" s="34"/>
      <c r="D74" s="47" t="s">
        <v>207</v>
      </c>
      <c r="E74" s="35" t="str">
        <f t="shared" si="2"/>
        <v>Band Target</v>
      </c>
      <c r="F74" s="34" t="s">
        <v>78</v>
      </c>
      <c r="G74" s="50" t="s">
        <v>101</v>
      </c>
    </row>
    <row r="75" spans="1:7">
      <c r="A75" s="34" t="s">
        <v>268</v>
      </c>
      <c r="B75" s="34"/>
      <c r="C75" s="34"/>
      <c r="D75" s="47" t="s">
        <v>207</v>
      </c>
      <c r="E75" s="35" t="str">
        <f t="shared" si="2"/>
        <v>Band Target</v>
      </c>
      <c r="F75" s="34" t="s">
        <v>79</v>
      </c>
      <c r="G75" s="50" t="s">
        <v>101</v>
      </c>
    </row>
    <row r="76" spans="1:7">
      <c r="A76" s="34" t="s">
        <v>268</v>
      </c>
      <c r="B76" s="34"/>
      <c r="C76" s="34"/>
      <c r="D76" s="47" t="s">
        <v>207</v>
      </c>
      <c r="E76" s="35" t="str">
        <f t="shared" si="2"/>
        <v>Band Target</v>
      </c>
      <c r="F76" s="34" t="s">
        <v>80</v>
      </c>
      <c r="G76" s="50" t="s">
        <v>101</v>
      </c>
    </row>
    <row r="77" spans="1:7">
      <c r="A77" s="34" t="s">
        <v>268</v>
      </c>
      <c r="B77" s="34"/>
      <c r="C77" s="34"/>
      <c r="D77" s="47" t="s">
        <v>207</v>
      </c>
      <c r="E77" s="35" t="str">
        <f t="shared" si="2"/>
        <v>Band Target</v>
      </c>
      <c r="F77" s="34" t="s">
        <v>81</v>
      </c>
      <c r="G77" s="50" t="s">
        <v>101</v>
      </c>
    </row>
    <row r="78" spans="1:7">
      <c r="A78" s="34" t="s">
        <v>268</v>
      </c>
      <c r="B78" s="34"/>
      <c r="C78" s="34"/>
      <c r="D78" s="47" t="s">
        <v>207</v>
      </c>
      <c r="E78" s="35" t="str">
        <f t="shared" si="2"/>
        <v>Band Target</v>
      </c>
      <c r="F78" s="34" t="s">
        <v>82</v>
      </c>
      <c r="G78" s="50" t="s">
        <v>101</v>
      </c>
    </row>
    <row r="79" spans="1:7">
      <c r="A79" s="34" t="s">
        <v>268</v>
      </c>
      <c r="B79" s="34"/>
      <c r="C79" s="34"/>
      <c r="D79" s="47" t="s">
        <v>207</v>
      </c>
      <c r="E79" s="35" t="str">
        <f t="shared" si="2"/>
        <v>Band Target</v>
      </c>
      <c r="F79" s="34" t="s">
        <v>83</v>
      </c>
      <c r="G79" s="50" t="s">
        <v>101</v>
      </c>
    </row>
    <row r="80" spans="1:7">
      <c r="A80" s="34" t="s">
        <v>268</v>
      </c>
      <c r="B80" s="34"/>
      <c r="C80" s="34"/>
      <c r="D80" s="47" t="s">
        <v>207</v>
      </c>
      <c r="E80" s="35" t="str">
        <f t="shared" si="2"/>
        <v>Band Target</v>
      </c>
      <c r="F80" s="34" t="s">
        <v>84</v>
      </c>
      <c r="G80" s="50" t="s">
        <v>101</v>
      </c>
    </row>
    <row r="81" spans="1:7">
      <c r="A81" s="34" t="s">
        <v>268</v>
      </c>
      <c r="B81" s="34"/>
      <c r="C81" s="34"/>
      <c r="D81" s="47" t="s">
        <v>207</v>
      </c>
      <c r="E81" s="35" t="str">
        <f t="shared" si="2"/>
        <v>Band Target</v>
      </c>
      <c r="F81" s="34" t="s">
        <v>85</v>
      </c>
      <c r="G81" s="50" t="s">
        <v>101</v>
      </c>
    </row>
    <row r="82" spans="1:7">
      <c r="A82" s="34" t="s">
        <v>268</v>
      </c>
      <c r="B82" s="34"/>
      <c r="C82" s="34"/>
      <c r="D82" s="47" t="s">
        <v>207</v>
      </c>
      <c r="E82" s="35" t="str">
        <f t="shared" si="2"/>
        <v>Band Target</v>
      </c>
      <c r="F82" s="34" t="s">
        <v>86</v>
      </c>
      <c r="G82" s="50" t="s">
        <v>101</v>
      </c>
    </row>
    <row r="83" spans="1:7">
      <c r="A83" s="34" t="s">
        <v>268</v>
      </c>
      <c r="B83" s="34"/>
      <c r="C83" s="34"/>
      <c r="D83" s="47" t="s">
        <v>207</v>
      </c>
      <c r="E83" s="35" t="str">
        <f t="shared" si="2"/>
        <v>Band Target</v>
      </c>
      <c r="F83" s="34" t="s">
        <v>87</v>
      </c>
      <c r="G83" s="50" t="s">
        <v>101</v>
      </c>
    </row>
    <row r="84" spans="1:7">
      <c r="A84" s="34" t="s">
        <v>268</v>
      </c>
      <c r="B84" s="34"/>
      <c r="C84" s="34"/>
      <c r="D84" s="47" t="s">
        <v>207</v>
      </c>
      <c r="E84" s="35" t="str">
        <f t="shared" si="2"/>
        <v>Band Target</v>
      </c>
      <c r="F84" s="34" t="s">
        <v>88</v>
      </c>
      <c r="G84" s="50" t="s">
        <v>101</v>
      </c>
    </row>
    <row r="85" spans="1:7">
      <c r="A85" s="34" t="s">
        <v>268</v>
      </c>
      <c r="B85" s="34"/>
      <c r="C85" s="34"/>
      <c r="D85" s="47" t="s">
        <v>207</v>
      </c>
      <c r="E85" s="35" t="str">
        <f t="shared" si="2"/>
        <v>Band Target</v>
      </c>
      <c r="F85" s="34" t="s">
        <v>89</v>
      </c>
      <c r="G85" s="50" t="s">
        <v>101</v>
      </c>
    </row>
    <row r="86" spans="1:7">
      <c r="A86" s="34" t="s">
        <v>268</v>
      </c>
      <c r="B86" s="34"/>
      <c r="C86" s="34"/>
      <c r="D86" s="47" t="s">
        <v>207</v>
      </c>
      <c r="E86" s="35" t="str">
        <f t="shared" si="2"/>
        <v>Band Target</v>
      </c>
      <c r="F86" s="34" t="s">
        <v>90</v>
      </c>
      <c r="G86" s="50" t="s">
        <v>101</v>
      </c>
    </row>
    <row r="87" spans="1:7">
      <c r="A87" s="34" t="s">
        <v>268</v>
      </c>
      <c r="B87" s="34"/>
      <c r="C87" s="34"/>
      <c r="D87" s="47" t="s">
        <v>207</v>
      </c>
      <c r="E87" s="35" t="str">
        <f t="shared" si="2"/>
        <v>Band Target</v>
      </c>
      <c r="F87" s="34" t="s">
        <v>91</v>
      </c>
      <c r="G87" s="50" t="s">
        <v>101</v>
      </c>
    </row>
    <row r="88" spans="1:7">
      <c r="A88" s="34" t="s">
        <v>268</v>
      </c>
      <c r="B88" s="34"/>
      <c r="C88" s="34"/>
      <c r="D88" s="47" t="s">
        <v>207</v>
      </c>
      <c r="E88" s="35" t="str">
        <f t="shared" si="2"/>
        <v>Band Target</v>
      </c>
      <c r="F88" s="34" t="s">
        <v>92</v>
      </c>
      <c r="G88" s="50" t="s">
        <v>101</v>
      </c>
    </row>
    <row r="89" spans="1:7">
      <c r="A89" s="34" t="s">
        <v>268</v>
      </c>
      <c r="B89" s="34"/>
      <c r="C89" s="34"/>
      <c r="D89" s="47" t="s">
        <v>207</v>
      </c>
      <c r="E89" s="35" t="str">
        <f t="shared" si="2"/>
        <v>Band Target</v>
      </c>
      <c r="F89" s="34" t="s">
        <v>93</v>
      </c>
      <c r="G89" s="50" t="s">
        <v>101</v>
      </c>
    </row>
    <row r="90" spans="1:7">
      <c r="A90" s="34" t="s">
        <v>268</v>
      </c>
      <c r="B90" s="34"/>
      <c r="C90" s="34"/>
      <c r="D90" s="47" t="s">
        <v>207</v>
      </c>
      <c r="E90" s="35" t="str">
        <f t="shared" si="2"/>
        <v>Band Target</v>
      </c>
      <c r="F90" s="34" t="s">
        <v>94</v>
      </c>
      <c r="G90" s="50" t="s">
        <v>101</v>
      </c>
    </row>
    <row r="91" spans="1:7">
      <c r="A91" s="34" t="s">
        <v>268</v>
      </c>
      <c r="B91" s="34"/>
      <c r="C91" s="34"/>
      <c r="D91" s="47" t="s">
        <v>207</v>
      </c>
      <c r="E91" s="35" t="str">
        <f t="shared" si="2"/>
        <v>Band Target</v>
      </c>
      <c r="F91" s="34" t="s">
        <v>95</v>
      </c>
      <c r="G91" s="50" t="s">
        <v>101</v>
      </c>
    </row>
    <row r="92" spans="1:7">
      <c r="A92" s="34" t="s">
        <v>268</v>
      </c>
      <c r="B92" s="57" t="s">
        <v>278</v>
      </c>
      <c r="C92" s="34"/>
      <c r="D92" s="47" t="s">
        <v>207</v>
      </c>
      <c r="E92" s="34" t="s">
        <v>96</v>
      </c>
      <c r="F92" s="34" t="s">
        <v>72</v>
      </c>
      <c r="G92" s="50" t="s">
        <v>101</v>
      </c>
    </row>
    <row r="93" spans="1:7">
      <c r="A93" s="34" t="s">
        <v>268</v>
      </c>
      <c r="B93" s="57" t="s">
        <v>283</v>
      </c>
      <c r="C93" s="34"/>
      <c r="D93" s="47" t="s">
        <v>207</v>
      </c>
      <c r="E93" s="35" t="str">
        <f>E92</f>
        <v>Graphic EQ(Wallmount)</v>
      </c>
      <c r="F93" s="34" t="s">
        <v>73</v>
      </c>
      <c r="G93" s="50" t="s">
        <v>236</v>
      </c>
    </row>
    <row r="94" spans="1:7">
      <c r="A94" s="34" t="s">
        <v>268</v>
      </c>
      <c r="B94" s="34"/>
      <c r="C94" s="34"/>
      <c r="D94" s="47" t="s">
        <v>207</v>
      </c>
      <c r="E94" s="35" t="s">
        <v>74</v>
      </c>
      <c r="F94" s="34" t="s">
        <v>18</v>
      </c>
      <c r="G94" s="50" t="s">
        <v>237</v>
      </c>
    </row>
    <row r="95" spans="1:7">
      <c r="A95" s="34" t="s">
        <v>268</v>
      </c>
      <c r="B95" s="34"/>
      <c r="C95" s="34"/>
      <c r="D95" s="47" t="s">
        <v>207</v>
      </c>
      <c r="E95" s="35" t="str">
        <f t="shared" ref="E95:E113" si="3">E94</f>
        <v>Band Center</v>
      </c>
      <c r="F95" s="34" t="s">
        <v>19</v>
      </c>
      <c r="G95" s="50" t="s">
        <v>238</v>
      </c>
    </row>
    <row r="96" spans="1:7">
      <c r="A96" s="34" t="s">
        <v>268</v>
      </c>
      <c r="B96" s="34"/>
      <c r="C96" s="34"/>
      <c r="D96" s="47" t="s">
        <v>207</v>
      </c>
      <c r="E96" s="35" t="str">
        <f t="shared" si="3"/>
        <v>Band Center</v>
      </c>
      <c r="F96" s="34" t="s">
        <v>20</v>
      </c>
      <c r="G96" s="50" t="s">
        <v>239</v>
      </c>
    </row>
    <row r="97" spans="1:7">
      <c r="A97" s="34" t="s">
        <v>268</v>
      </c>
      <c r="B97" s="34"/>
      <c r="C97" s="34"/>
      <c r="D97" s="47" t="s">
        <v>207</v>
      </c>
      <c r="E97" s="35" t="str">
        <f t="shared" si="3"/>
        <v>Band Center</v>
      </c>
      <c r="F97" s="34" t="s">
        <v>21</v>
      </c>
      <c r="G97" s="50" t="s">
        <v>240</v>
      </c>
    </row>
    <row r="98" spans="1:7">
      <c r="A98" s="34" t="s">
        <v>268</v>
      </c>
      <c r="B98" s="34"/>
      <c r="C98" s="34"/>
      <c r="D98" s="47" t="s">
        <v>207</v>
      </c>
      <c r="E98" s="35" t="str">
        <f t="shared" si="3"/>
        <v>Band Center</v>
      </c>
      <c r="F98" s="34" t="s">
        <v>22</v>
      </c>
      <c r="G98" s="50" t="s">
        <v>235</v>
      </c>
    </row>
    <row r="99" spans="1:7">
      <c r="A99" s="34" t="s">
        <v>268</v>
      </c>
      <c r="B99" s="34"/>
      <c r="C99" s="34"/>
      <c r="D99" s="47" t="s">
        <v>207</v>
      </c>
      <c r="E99" s="35" t="str">
        <f t="shared" si="3"/>
        <v>Band Center</v>
      </c>
      <c r="F99" s="34" t="s">
        <v>23</v>
      </c>
      <c r="G99" s="50" t="s">
        <v>241</v>
      </c>
    </row>
    <row r="100" spans="1:7">
      <c r="A100" s="34" t="s">
        <v>268</v>
      </c>
      <c r="B100" s="34"/>
      <c r="C100" s="34"/>
      <c r="D100" s="47" t="s">
        <v>207</v>
      </c>
      <c r="E100" s="35" t="str">
        <f t="shared" si="3"/>
        <v>Band Center</v>
      </c>
      <c r="F100" s="34" t="s">
        <v>24</v>
      </c>
      <c r="G100" s="50" t="s">
        <v>242</v>
      </c>
    </row>
    <row r="101" spans="1:7">
      <c r="A101" s="34" t="s">
        <v>268</v>
      </c>
      <c r="B101" s="34"/>
      <c r="C101" s="34"/>
      <c r="D101" s="47" t="s">
        <v>207</v>
      </c>
      <c r="E101" s="35" t="str">
        <f t="shared" si="3"/>
        <v>Band Center</v>
      </c>
      <c r="F101" s="34" t="s">
        <v>25</v>
      </c>
      <c r="G101" s="50" t="s">
        <v>243</v>
      </c>
    </row>
    <row r="102" spans="1:7">
      <c r="A102" s="34" t="s">
        <v>268</v>
      </c>
      <c r="B102" s="34"/>
      <c r="C102" s="34"/>
      <c r="D102" s="47" t="s">
        <v>207</v>
      </c>
      <c r="E102" s="35" t="str">
        <f t="shared" si="3"/>
        <v>Band Center</v>
      </c>
      <c r="F102" s="34" t="s">
        <v>26</v>
      </c>
      <c r="G102" s="50" t="s">
        <v>244</v>
      </c>
    </row>
    <row r="103" spans="1:7">
      <c r="A103" s="34" t="s">
        <v>268</v>
      </c>
      <c r="B103" s="34"/>
      <c r="C103" s="34"/>
      <c r="D103" s="47" t="s">
        <v>207</v>
      </c>
      <c r="E103" s="35" t="str">
        <f t="shared" si="3"/>
        <v>Band Center</v>
      </c>
      <c r="F103" s="34" t="s">
        <v>27</v>
      </c>
      <c r="G103" s="50" t="s">
        <v>245</v>
      </c>
    </row>
    <row r="104" spans="1:7">
      <c r="A104" s="34" t="s">
        <v>268</v>
      </c>
      <c r="B104" s="34"/>
      <c r="C104" s="34"/>
      <c r="D104" s="47" t="s">
        <v>207</v>
      </c>
      <c r="E104" s="35" t="str">
        <f t="shared" si="3"/>
        <v>Band Center</v>
      </c>
      <c r="F104" s="34" t="s">
        <v>28</v>
      </c>
      <c r="G104" s="50" t="s">
        <v>246</v>
      </c>
    </row>
    <row r="105" spans="1:7">
      <c r="A105" s="34" t="s">
        <v>268</v>
      </c>
      <c r="B105" s="34"/>
      <c r="C105" s="34"/>
      <c r="D105" s="47" t="s">
        <v>207</v>
      </c>
      <c r="E105" s="35" t="str">
        <f t="shared" si="3"/>
        <v>Band Center</v>
      </c>
      <c r="F105" s="34" t="s">
        <v>29</v>
      </c>
      <c r="G105" s="50" t="s">
        <v>223</v>
      </c>
    </row>
    <row r="106" spans="1:7">
      <c r="A106" s="34" t="s">
        <v>268</v>
      </c>
      <c r="B106" s="34"/>
      <c r="C106" s="34"/>
      <c r="D106" s="47" t="s">
        <v>207</v>
      </c>
      <c r="E106" s="35" t="str">
        <f t="shared" si="3"/>
        <v>Band Center</v>
      </c>
      <c r="F106" s="34" t="s">
        <v>30</v>
      </c>
      <c r="G106" s="50" t="s">
        <v>247</v>
      </c>
    </row>
    <row r="107" spans="1:7">
      <c r="A107" s="34" t="s">
        <v>268</v>
      </c>
      <c r="B107" s="34"/>
      <c r="C107" s="34"/>
      <c r="D107" s="47" t="s">
        <v>207</v>
      </c>
      <c r="E107" s="35" t="str">
        <f t="shared" si="3"/>
        <v>Band Center</v>
      </c>
      <c r="F107" s="34" t="s">
        <v>31</v>
      </c>
      <c r="G107" s="50" t="s">
        <v>248</v>
      </c>
    </row>
    <row r="108" spans="1:7">
      <c r="A108" s="34" t="s">
        <v>268</v>
      </c>
      <c r="B108" s="34"/>
      <c r="C108" s="34"/>
      <c r="D108" s="47" t="s">
        <v>207</v>
      </c>
      <c r="E108" s="35" t="str">
        <f t="shared" si="3"/>
        <v>Band Center</v>
      </c>
      <c r="F108" s="34" t="s">
        <v>32</v>
      </c>
      <c r="G108" s="50" t="s">
        <v>249</v>
      </c>
    </row>
    <row r="109" spans="1:7">
      <c r="A109" s="34" t="s">
        <v>268</v>
      </c>
      <c r="B109" s="34"/>
      <c r="C109" s="34"/>
      <c r="D109" s="47" t="s">
        <v>207</v>
      </c>
      <c r="E109" s="35" t="str">
        <f t="shared" si="3"/>
        <v>Band Center</v>
      </c>
      <c r="F109" s="34" t="s">
        <v>33</v>
      </c>
      <c r="G109" s="50" t="s">
        <v>250</v>
      </c>
    </row>
    <row r="110" spans="1:7">
      <c r="A110" s="34" t="s">
        <v>268</v>
      </c>
      <c r="B110" s="34"/>
      <c r="C110" s="34"/>
      <c r="D110" s="47" t="s">
        <v>207</v>
      </c>
      <c r="E110" s="35" t="str">
        <f t="shared" si="3"/>
        <v>Band Center</v>
      </c>
      <c r="F110" s="34" t="s">
        <v>34</v>
      </c>
      <c r="G110" s="50" t="s">
        <v>251</v>
      </c>
    </row>
    <row r="111" spans="1:7">
      <c r="A111" s="34" t="s">
        <v>268</v>
      </c>
      <c r="B111" s="34"/>
      <c r="C111" s="34"/>
      <c r="D111" s="47" t="s">
        <v>207</v>
      </c>
      <c r="E111" s="35" t="str">
        <f t="shared" si="3"/>
        <v>Band Center</v>
      </c>
      <c r="F111" s="34" t="s">
        <v>35</v>
      </c>
      <c r="G111" s="50" t="s">
        <v>252</v>
      </c>
    </row>
    <row r="112" spans="1:7">
      <c r="A112" s="34" t="s">
        <v>268</v>
      </c>
      <c r="B112" s="34"/>
      <c r="C112" s="34"/>
      <c r="D112" s="47" t="s">
        <v>207</v>
      </c>
      <c r="E112" s="35" t="str">
        <f t="shared" si="3"/>
        <v>Band Center</v>
      </c>
      <c r="F112" s="34" t="s">
        <v>36</v>
      </c>
      <c r="G112" s="50" t="s">
        <v>253</v>
      </c>
    </row>
    <row r="113" spans="1:7">
      <c r="A113" s="34" t="s">
        <v>268</v>
      </c>
      <c r="B113" s="34"/>
      <c r="C113" s="34"/>
      <c r="D113" s="47" t="s">
        <v>207</v>
      </c>
      <c r="E113" s="35" t="str">
        <f t="shared" si="3"/>
        <v>Band Center</v>
      </c>
      <c r="F113" s="34" t="s">
        <v>37</v>
      </c>
      <c r="G113" s="50" t="s">
        <v>254</v>
      </c>
    </row>
    <row r="114" spans="1:7">
      <c r="A114" s="34" t="s">
        <v>268</v>
      </c>
      <c r="B114" s="34"/>
      <c r="C114" s="34"/>
      <c r="D114" s="47" t="s">
        <v>207</v>
      </c>
      <c r="E114" s="35" t="s">
        <v>75</v>
      </c>
      <c r="F114" s="34" t="s">
        <v>76</v>
      </c>
      <c r="G114" s="50" t="s">
        <v>101</v>
      </c>
    </row>
    <row r="115" spans="1:7">
      <c r="A115" s="34" t="s">
        <v>268</v>
      </c>
      <c r="B115" s="34"/>
      <c r="C115" s="34"/>
      <c r="D115" s="47" t="s">
        <v>207</v>
      </c>
      <c r="E115" s="35" t="str">
        <f t="shared" ref="E115:E133" si="4">E114</f>
        <v>Band Target</v>
      </c>
      <c r="F115" s="34" t="s">
        <v>77</v>
      </c>
      <c r="G115" s="50" t="s">
        <v>101</v>
      </c>
    </row>
    <row r="116" spans="1:7">
      <c r="A116" s="34" t="s">
        <v>268</v>
      </c>
      <c r="B116" s="34"/>
      <c r="C116" s="34"/>
      <c r="D116" s="47" t="s">
        <v>207</v>
      </c>
      <c r="E116" s="35" t="str">
        <f t="shared" si="4"/>
        <v>Band Target</v>
      </c>
      <c r="F116" s="34" t="s">
        <v>78</v>
      </c>
      <c r="G116" s="50" t="s">
        <v>101</v>
      </c>
    </row>
    <row r="117" spans="1:7">
      <c r="A117" s="34" t="s">
        <v>268</v>
      </c>
      <c r="B117" s="34"/>
      <c r="C117" s="34"/>
      <c r="D117" s="47" t="s">
        <v>207</v>
      </c>
      <c r="E117" s="35" t="str">
        <f t="shared" si="4"/>
        <v>Band Target</v>
      </c>
      <c r="F117" s="34" t="s">
        <v>79</v>
      </c>
      <c r="G117" s="50" t="s">
        <v>101</v>
      </c>
    </row>
    <row r="118" spans="1:7">
      <c r="A118" s="34" t="s">
        <v>268</v>
      </c>
      <c r="B118" s="34"/>
      <c r="C118" s="34"/>
      <c r="D118" s="47" t="s">
        <v>207</v>
      </c>
      <c r="E118" s="35" t="str">
        <f t="shared" si="4"/>
        <v>Band Target</v>
      </c>
      <c r="F118" s="34" t="s">
        <v>80</v>
      </c>
      <c r="G118" s="50" t="s">
        <v>101</v>
      </c>
    </row>
    <row r="119" spans="1:7">
      <c r="A119" s="34" t="s">
        <v>268</v>
      </c>
      <c r="B119" s="34"/>
      <c r="C119" s="34"/>
      <c r="D119" s="47" t="s">
        <v>207</v>
      </c>
      <c r="E119" s="35" t="str">
        <f t="shared" si="4"/>
        <v>Band Target</v>
      </c>
      <c r="F119" s="34" t="s">
        <v>81</v>
      </c>
      <c r="G119" s="50" t="s">
        <v>101</v>
      </c>
    </row>
    <row r="120" spans="1:7">
      <c r="A120" s="34" t="s">
        <v>268</v>
      </c>
      <c r="B120" s="34"/>
      <c r="C120" s="34"/>
      <c r="D120" s="47" t="s">
        <v>207</v>
      </c>
      <c r="E120" s="35" t="str">
        <f t="shared" si="4"/>
        <v>Band Target</v>
      </c>
      <c r="F120" s="34" t="s">
        <v>82</v>
      </c>
      <c r="G120" s="50" t="s">
        <v>101</v>
      </c>
    </row>
    <row r="121" spans="1:7">
      <c r="A121" s="34" t="s">
        <v>268</v>
      </c>
      <c r="B121" s="34"/>
      <c r="C121" s="34"/>
      <c r="D121" s="47" t="s">
        <v>207</v>
      </c>
      <c r="E121" s="35" t="str">
        <f t="shared" si="4"/>
        <v>Band Target</v>
      </c>
      <c r="F121" s="34" t="s">
        <v>83</v>
      </c>
      <c r="G121" s="50" t="s">
        <v>101</v>
      </c>
    </row>
    <row r="122" spans="1:7">
      <c r="A122" s="34" t="s">
        <v>268</v>
      </c>
      <c r="B122" s="34"/>
      <c r="C122" s="34"/>
      <c r="D122" s="47" t="s">
        <v>207</v>
      </c>
      <c r="E122" s="35" t="str">
        <f t="shared" si="4"/>
        <v>Band Target</v>
      </c>
      <c r="F122" s="34" t="s">
        <v>84</v>
      </c>
      <c r="G122" s="50" t="s">
        <v>101</v>
      </c>
    </row>
    <row r="123" spans="1:7">
      <c r="A123" s="34" t="s">
        <v>268</v>
      </c>
      <c r="B123" s="34"/>
      <c r="C123" s="34"/>
      <c r="D123" s="47" t="s">
        <v>207</v>
      </c>
      <c r="E123" s="35" t="str">
        <f t="shared" si="4"/>
        <v>Band Target</v>
      </c>
      <c r="F123" s="34" t="s">
        <v>85</v>
      </c>
      <c r="G123" s="50" t="s">
        <v>101</v>
      </c>
    </row>
    <row r="124" spans="1:7">
      <c r="A124" s="34" t="s">
        <v>268</v>
      </c>
      <c r="B124" s="34"/>
      <c r="C124" s="34"/>
      <c r="D124" s="47" t="s">
        <v>207</v>
      </c>
      <c r="E124" s="35" t="str">
        <f t="shared" si="4"/>
        <v>Band Target</v>
      </c>
      <c r="F124" s="34" t="s">
        <v>86</v>
      </c>
      <c r="G124" s="50" t="s">
        <v>101</v>
      </c>
    </row>
    <row r="125" spans="1:7">
      <c r="A125" s="34" t="s">
        <v>268</v>
      </c>
      <c r="B125" s="34"/>
      <c r="C125" s="34"/>
      <c r="D125" s="47" t="s">
        <v>207</v>
      </c>
      <c r="E125" s="35" t="str">
        <f t="shared" si="4"/>
        <v>Band Target</v>
      </c>
      <c r="F125" s="34" t="s">
        <v>87</v>
      </c>
      <c r="G125" s="50" t="s">
        <v>101</v>
      </c>
    </row>
    <row r="126" spans="1:7">
      <c r="A126" s="34" t="s">
        <v>268</v>
      </c>
      <c r="B126" s="34"/>
      <c r="C126" s="34"/>
      <c r="D126" s="47" t="s">
        <v>207</v>
      </c>
      <c r="E126" s="35" t="str">
        <f t="shared" si="4"/>
        <v>Band Target</v>
      </c>
      <c r="F126" s="34" t="s">
        <v>88</v>
      </c>
      <c r="G126" s="50" t="s">
        <v>101</v>
      </c>
    </row>
    <row r="127" spans="1:7">
      <c r="A127" s="34" t="s">
        <v>268</v>
      </c>
      <c r="B127" s="34"/>
      <c r="C127" s="34"/>
      <c r="D127" s="47" t="s">
        <v>207</v>
      </c>
      <c r="E127" s="35" t="str">
        <f t="shared" si="4"/>
        <v>Band Target</v>
      </c>
      <c r="F127" s="34" t="s">
        <v>89</v>
      </c>
      <c r="G127" s="50" t="s">
        <v>101</v>
      </c>
    </row>
    <row r="128" spans="1:7">
      <c r="A128" s="34" t="s">
        <v>268</v>
      </c>
      <c r="B128" s="34"/>
      <c r="C128" s="34"/>
      <c r="D128" s="47" t="s">
        <v>207</v>
      </c>
      <c r="E128" s="35" t="str">
        <f t="shared" si="4"/>
        <v>Band Target</v>
      </c>
      <c r="F128" s="34" t="s">
        <v>90</v>
      </c>
      <c r="G128" s="50" t="s">
        <v>101</v>
      </c>
    </row>
    <row r="129" spans="1:7">
      <c r="A129" s="34" t="s">
        <v>268</v>
      </c>
      <c r="B129" s="34"/>
      <c r="C129" s="34"/>
      <c r="D129" s="47" t="s">
        <v>207</v>
      </c>
      <c r="E129" s="35" t="str">
        <f t="shared" si="4"/>
        <v>Band Target</v>
      </c>
      <c r="F129" s="34" t="s">
        <v>91</v>
      </c>
      <c r="G129" s="50" t="s">
        <v>101</v>
      </c>
    </row>
    <row r="130" spans="1:7">
      <c r="A130" s="34" t="s">
        <v>268</v>
      </c>
      <c r="B130" s="34"/>
      <c r="C130" s="34"/>
      <c r="D130" s="47" t="s">
        <v>207</v>
      </c>
      <c r="E130" s="35" t="str">
        <f t="shared" si="4"/>
        <v>Band Target</v>
      </c>
      <c r="F130" s="34" t="s">
        <v>92</v>
      </c>
      <c r="G130" s="50" t="s">
        <v>101</v>
      </c>
    </row>
    <row r="131" spans="1:7">
      <c r="A131" s="34" t="s">
        <v>268</v>
      </c>
      <c r="B131" s="34"/>
      <c r="C131" s="34"/>
      <c r="D131" s="47" t="s">
        <v>207</v>
      </c>
      <c r="E131" s="35" t="str">
        <f t="shared" si="4"/>
        <v>Band Target</v>
      </c>
      <c r="F131" s="34" t="s">
        <v>93</v>
      </c>
      <c r="G131" s="50" t="s">
        <v>101</v>
      </c>
    </row>
    <row r="132" spans="1:7">
      <c r="A132" s="34" t="s">
        <v>268</v>
      </c>
      <c r="B132" s="34"/>
      <c r="C132" s="34"/>
      <c r="D132" s="47" t="s">
        <v>207</v>
      </c>
      <c r="E132" s="35" t="str">
        <f t="shared" si="4"/>
        <v>Band Target</v>
      </c>
      <c r="F132" s="34" t="s">
        <v>94</v>
      </c>
      <c r="G132" s="50" t="s">
        <v>101</v>
      </c>
    </row>
    <row r="133" spans="1:7">
      <c r="A133" s="34" t="s">
        <v>268</v>
      </c>
      <c r="B133" s="34"/>
      <c r="C133" s="34"/>
      <c r="D133" s="47" t="s">
        <v>207</v>
      </c>
      <c r="E133" s="35" t="str">
        <f t="shared" si="4"/>
        <v>Band Target</v>
      </c>
      <c r="F133" s="34" t="s">
        <v>95</v>
      </c>
      <c r="G133" s="50" t="s">
        <v>101</v>
      </c>
    </row>
    <row r="134" spans="1:7">
      <c r="A134" s="34" t="s">
        <v>268</v>
      </c>
      <c r="B134" s="57" t="s">
        <v>280</v>
      </c>
      <c r="C134" s="34"/>
      <c r="D134" s="47" t="s">
        <v>207</v>
      </c>
      <c r="E134" s="35" t="s">
        <v>97</v>
      </c>
      <c r="F134" s="34" t="s">
        <v>98</v>
      </c>
      <c r="G134" s="50" t="s">
        <v>101</v>
      </c>
    </row>
    <row r="135" spans="1:7">
      <c r="A135" s="34" t="s">
        <v>268</v>
      </c>
      <c r="B135" s="53" t="s">
        <v>282</v>
      </c>
      <c r="C135" s="34"/>
      <c r="D135" s="47" t="s">
        <v>207</v>
      </c>
      <c r="E135" s="35" t="str">
        <f>E134</f>
        <v>Intelligent EQ</v>
      </c>
      <c r="F135" s="34" t="s">
        <v>38</v>
      </c>
      <c r="G135" s="50" t="s">
        <v>236</v>
      </c>
    </row>
    <row r="136" spans="1:7" ht="13.5">
      <c r="A136" s="34" t="s">
        <v>268</v>
      </c>
      <c r="B136" s="77" t="s">
        <v>281</v>
      </c>
      <c r="C136" s="34"/>
      <c r="D136" s="47" t="s">
        <v>207</v>
      </c>
      <c r="E136" s="35" t="str">
        <f>E135</f>
        <v>Intelligent EQ</v>
      </c>
      <c r="F136" s="34" t="s">
        <v>39</v>
      </c>
      <c r="G136" s="50" t="s">
        <v>101</v>
      </c>
    </row>
    <row r="137" spans="1:7">
      <c r="A137" s="34" t="s">
        <v>268</v>
      </c>
      <c r="B137" s="34"/>
      <c r="C137" s="34"/>
      <c r="D137" s="47" t="s">
        <v>207</v>
      </c>
      <c r="E137" s="35" t="s">
        <v>74</v>
      </c>
      <c r="F137" s="34" t="s">
        <v>18</v>
      </c>
      <c r="G137" s="50" t="s">
        <v>237</v>
      </c>
    </row>
    <row r="138" spans="1:7">
      <c r="A138" s="34" t="s">
        <v>268</v>
      </c>
      <c r="B138" s="34"/>
      <c r="C138" s="34"/>
      <c r="D138" s="47" t="s">
        <v>207</v>
      </c>
      <c r="E138" s="35" t="str">
        <f t="shared" ref="E138:E156" si="5">E137</f>
        <v>Band Center</v>
      </c>
      <c r="F138" s="34" t="s">
        <v>19</v>
      </c>
      <c r="G138" s="50" t="s">
        <v>238</v>
      </c>
    </row>
    <row r="139" spans="1:7">
      <c r="A139" s="34" t="s">
        <v>268</v>
      </c>
      <c r="B139" s="34"/>
      <c r="C139" s="34"/>
      <c r="D139" s="47" t="s">
        <v>207</v>
      </c>
      <c r="E139" s="35" t="str">
        <f t="shared" si="5"/>
        <v>Band Center</v>
      </c>
      <c r="F139" s="34" t="s">
        <v>20</v>
      </c>
      <c r="G139" s="50" t="s">
        <v>239</v>
      </c>
    </row>
    <row r="140" spans="1:7">
      <c r="A140" s="34" t="s">
        <v>268</v>
      </c>
      <c r="B140" s="34"/>
      <c r="C140" s="34"/>
      <c r="D140" s="47" t="s">
        <v>207</v>
      </c>
      <c r="E140" s="35" t="str">
        <f t="shared" si="5"/>
        <v>Band Center</v>
      </c>
      <c r="F140" s="34" t="s">
        <v>21</v>
      </c>
      <c r="G140" s="50" t="s">
        <v>240</v>
      </c>
    </row>
    <row r="141" spans="1:7">
      <c r="A141" s="34" t="s">
        <v>268</v>
      </c>
      <c r="B141" s="34"/>
      <c r="C141" s="34"/>
      <c r="D141" s="47" t="s">
        <v>207</v>
      </c>
      <c r="E141" s="35" t="str">
        <f t="shared" si="5"/>
        <v>Band Center</v>
      </c>
      <c r="F141" s="34" t="s">
        <v>22</v>
      </c>
      <c r="G141" s="50" t="s">
        <v>235</v>
      </c>
    </row>
    <row r="142" spans="1:7">
      <c r="A142" s="34" t="s">
        <v>268</v>
      </c>
      <c r="B142" s="34"/>
      <c r="C142" s="34"/>
      <c r="D142" s="47" t="s">
        <v>207</v>
      </c>
      <c r="E142" s="35" t="str">
        <f t="shared" si="5"/>
        <v>Band Center</v>
      </c>
      <c r="F142" s="34" t="s">
        <v>23</v>
      </c>
      <c r="G142" s="50" t="s">
        <v>241</v>
      </c>
    </row>
    <row r="143" spans="1:7">
      <c r="A143" s="34" t="s">
        <v>268</v>
      </c>
      <c r="B143" s="34"/>
      <c r="C143" s="34"/>
      <c r="D143" s="47" t="s">
        <v>207</v>
      </c>
      <c r="E143" s="35" t="str">
        <f t="shared" si="5"/>
        <v>Band Center</v>
      </c>
      <c r="F143" s="34" t="s">
        <v>24</v>
      </c>
      <c r="G143" s="50" t="s">
        <v>242</v>
      </c>
    </row>
    <row r="144" spans="1:7">
      <c r="A144" s="34" t="s">
        <v>268</v>
      </c>
      <c r="B144" s="34"/>
      <c r="C144" s="34"/>
      <c r="D144" s="47" t="s">
        <v>207</v>
      </c>
      <c r="E144" s="35" t="str">
        <f t="shared" si="5"/>
        <v>Band Center</v>
      </c>
      <c r="F144" s="34" t="s">
        <v>25</v>
      </c>
      <c r="G144" s="50" t="s">
        <v>243</v>
      </c>
    </row>
    <row r="145" spans="1:7">
      <c r="A145" s="34" t="s">
        <v>268</v>
      </c>
      <c r="B145" s="34"/>
      <c r="C145" s="34"/>
      <c r="D145" s="47" t="s">
        <v>207</v>
      </c>
      <c r="E145" s="35" t="str">
        <f t="shared" si="5"/>
        <v>Band Center</v>
      </c>
      <c r="F145" s="34" t="s">
        <v>26</v>
      </c>
      <c r="G145" s="50" t="s">
        <v>244</v>
      </c>
    </row>
    <row r="146" spans="1:7">
      <c r="A146" s="34" t="s">
        <v>268</v>
      </c>
      <c r="B146" s="34"/>
      <c r="C146" s="34"/>
      <c r="D146" s="47" t="s">
        <v>207</v>
      </c>
      <c r="E146" s="35" t="str">
        <f t="shared" si="5"/>
        <v>Band Center</v>
      </c>
      <c r="F146" s="34" t="s">
        <v>27</v>
      </c>
      <c r="G146" s="50" t="s">
        <v>245</v>
      </c>
    </row>
    <row r="147" spans="1:7">
      <c r="A147" s="34" t="s">
        <v>268</v>
      </c>
      <c r="B147" s="34"/>
      <c r="C147" s="34"/>
      <c r="D147" s="47" t="s">
        <v>207</v>
      </c>
      <c r="E147" s="35" t="str">
        <f t="shared" si="5"/>
        <v>Band Center</v>
      </c>
      <c r="F147" s="34" t="s">
        <v>28</v>
      </c>
      <c r="G147" s="50" t="s">
        <v>246</v>
      </c>
    </row>
    <row r="148" spans="1:7">
      <c r="A148" s="34" t="s">
        <v>268</v>
      </c>
      <c r="B148" s="34"/>
      <c r="C148" s="34"/>
      <c r="D148" s="47" t="s">
        <v>207</v>
      </c>
      <c r="E148" s="35" t="str">
        <f t="shared" si="5"/>
        <v>Band Center</v>
      </c>
      <c r="F148" s="34" t="s">
        <v>29</v>
      </c>
      <c r="G148" s="50" t="s">
        <v>223</v>
      </c>
    </row>
    <row r="149" spans="1:7">
      <c r="A149" s="34" t="s">
        <v>268</v>
      </c>
      <c r="B149" s="34"/>
      <c r="C149" s="34"/>
      <c r="D149" s="47" t="s">
        <v>207</v>
      </c>
      <c r="E149" s="35" t="str">
        <f t="shared" si="5"/>
        <v>Band Center</v>
      </c>
      <c r="F149" s="34" t="s">
        <v>30</v>
      </c>
      <c r="G149" s="50" t="s">
        <v>247</v>
      </c>
    </row>
    <row r="150" spans="1:7">
      <c r="A150" s="34" t="s">
        <v>268</v>
      </c>
      <c r="B150" s="34"/>
      <c r="C150" s="34"/>
      <c r="D150" s="47" t="s">
        <v>207</v>
      </c>
      <c r="E150" s="35" t="str">
        <f t="shared" si="5"/>
        <v>Band Center</v>
      </c>
      <c r="F150" s="34" t="s">
        <v>31</v>
      </c>
      <c r="G150" s="50" t="s">
        <v>248</v>
      </c>
    </row>
    <row r="151" spans="1:7">
      <c r="A151" s="34" t="s">
        <v>268</v>
      </c>
      <c r="B151" s="34"/>
      <c r="C151" s="34"/>
      <c r="D151" s="47" t="s">
        <v>207</v>
      </c>
      <c r="E151" s="35" t="str">
        <f t="shared" si="5"/>
        <v>Band Center</v>
      </c>
      <c r="F151" s="34" t="s">
        <v>32</v>
      </c>
      <c r="G151" s="50" t="s">
        <v>249</v>
      </c>
    </row>
    <row r="152" spans="1:7">
      <c r="A152" s="34" t="s">
        <v>268</v>
      </c>
      <c r="B152" s="34"/>
      <c r="C152" s="34"/>
      <c r="D152" s="47" t="s">
        <v>207</v>
      </c>
      <c r="E152" s="35" t="str">
        <f t="shared" si="5"/>
        <v>Band Center</v>
      </c>
      <c r="F152" s="34" t="s">
        <v>33</v>
      </c>
      <c r="G152" s="50" t="s">
        <v>250</v>
      </c>
    </row>
    <row r="153" spans="1:7">
      <c r="A153" s="34" t="s">
        <v>268</v>
      </c>
      <c r="B153" s="34"/>
      <c r="C153" s="34"/>
      <c r="D153" s="47" t="s">
        <v>207</v>
      </c>
      <c r="E153" s="35" t="str">
        <f t="shared" si="5"/>
        <v>Band Center</v>
      </c>
      <c r="F153" s="34" t="s">
        <v>34</v>
      </c>
      <c r="G153" s="50" t="s">
        <v>251</v>
      </c>
    </row>
    <row r="154" spans="1:7">
      <c r="A154" s="34" t="s">
        <v>268</v>
      </c>
      <c r="B154" s="34"/>
      <c r="C154" s="34"/>
      <c r="D154" s="47" t="s">
        <v>207</v>
      </c>
      <c r="E154" s="35" t="str">
        <f t="shared" si="5"/>
        <v>Band Center</v>
      </c>
      <c r="F154" s="34" t="s">
        <v>35</v>
      </c>
      <c r="G154" s="50" t="s">
        <v>252</v>
      </c>
    </row>
    <row r="155" spans="1:7">
      <c r="A155" s="34" t="s">
        <v>268</v>
      </c>
      <c r="B155" s="34"/>
      <c r="C155" s="34"/>
      <c r="D155" s="47" t="s">
        <v>207</v>
      </c>
      <c r="E155" s="35" t="str">
        <f t="shared" si="5"/>
        <v>Band Center</v>
      </c>
      <c r="F155" s="34" t="s">
        <v>36</v>
      </c>
      <c r="G155" s="50" t="s">
        <v>253</v>
      </c>
    </row>
    <row r="156" spans="1:7">
      <c r="A156" s="34" t="s">
        <v>268</v>
      </c>
      <c r="B156" s="34"/>
      <c r="C156" s="34"/>
      <c r="D156" s="47" t="s">
        <v>207</v>
      </c>
      <c r="E156" s="35" t="str">
        <f t="shared" si="5"/>
        <v>Band Center</v>
      </c>
      <c r="F156" s="34" t="s">
        <v>37</v>
      </c>
      <c r="G156" s="50" t="s">
        <v>254</v>
      </c>
    </row>
    <row r="157" spans="1:7">
      <c r="A157" s="34" t="s">
        <v>268</v>
      </c>
      <c r="B157" s="34"/>
      <c r="C157" s="34"/>
      <c r="D157" s="47" t="s">
        <v>207</v>
      </c>
      <c r="E157" s="35" t="s">
        <v>99</v>
      </c>
      <c r="F157" s="34" t="s">
        <v>76</v>
      </c>
      <c r="G157" s="50" t="s">
        <v>255</v>
      </c>
    </row>
    <row r="158" spans="1:7">
      <c r="A158" s="34" t="s">
        <v>268</v>
      </c>
      <c r="B158" s="34"/>
      <c r="C158" s="34"/>
      <c r="D158" s="47" t="s">
        <v>207</v>
      </c>
      <c r="E158" s="35" t="str">
        <f t="shared" ref="E158:E176" si="6">E157</f>
        <v xml:space="preserve">Band Target </v>
      </c>
      <c r="F158" s="34" t="s">
        <v>77</v>
      </c>
      <c r="G158" s="50" t="s">
        <v>255</v>
      </c>
    </row>
    <row r="159" spans="1:7">
      <c r="A159" s="34" t="s">
        <v>268</v>
      </c>
      <c r="B159" s="34"/>
      <c r="C159" s="34"/>
      <c r="D159" s="47" t="s">
        <v>207</v>
      </c>
      <c r="E159" s="35" t="str">
        <f t="shared" si="6"/>
        <v xml:space="preserve">Band Target </v>
      </c>
      <c r="F159" s="34" t="s">
        <v>78</v>
      </c>
      <c r="G159" s="50" t="s">
        <v>255</v>
      </c>
    </row>
    <row r="160" spans="1:7">
      <c r="A160" s="34" t="s">
        <v>268</v>
      </c>
      <c r="B160" s="34"/>
      <c r="C160" s="34"/>
      <c r="D160" s="47" t="s">
        <v>207</v>
      </c>
      <c r="E160" s="35" t="str">
        <f t="shared" si="6"/>
        <v xml:space="preserve">Band Target </v>
      </c>
      <c r="F160" s="34" t="s">
        <v>79</v>
      </c>
      <c r="G160" s="50" t="s">
        <v>255</v>
      </c>
    </row>
    <row r="161" spans="1:7">
      <c r="A161" s="34" t="s">
        <v>268</v>
      </c>
      <c r="B161" s="34"/>
      <c r="C161" s="34"/>
      <c r="D161" s="47" t="s">
        <v>207</v>
      </c>
      <c r="E161" s="35" t="str">
        <f t="shared" si="6"/>
        <v xml:space="preserve">Band Target </v>
      </c>
      <c r="F161" s="34" t="s">
        <v>80</v>
      </c>
      <c r="G161" s="50" t="s">
        <v>256</v>
      </c>
    </row>
    <row r="162" spans="1:7">
      <c r="A162" s="34" t="s">
        <v>268</v>
      </c>
      <c r="B162" s="34"/>
      <c r="C162" s="34"/>
      <c r="D162" s="47" t="s">
        <v>207</v>
      </c>
      <c r="E162" s="35" t="str">
        <f t="shared" si="6"/>
        <v xml:space="preserve">Band Target </v>
      </c>
      <c r="F162" s="34" t="s">
        <v>81</v>
      </c>
      <c r="G162" s="50" t="s">
        <v>227</v>
      </c>
    </row>
    <row r="163" spans="1:7">
      <c r="A163" s="34" t="s">
        <v>268</v>
      </c>
      <c r="B163" s="34"/>
      <c r="C163" s="34"/>
      <c r="D163" s="47" t="s">
        <v>207</v>
      </c>
      <c r="E163" s="35" t="str">
        <f t="shared" si="6"/>
        <v xml:space="preserve">Band Target </v>
      </c>
      <c r="F163" s="34" t="s">
        <v>82</v>
      </c>
      <c r="G163" s="50" t="s">
        <v>227</v>
      </c>
    </row>
    <row r="164" spans="1:7">
      <c r="A164" s="34" t="s">
        <v>268</v>
      </c>
      <c r="B164" s="34"/>
      <c r="C164" s="34"/>
      <c r="D164" s="47" t="s">
        <v>207</v>
      </c>
      <c r="E164" s="35" t="str">
        <f t="shared" si="6"/>
        <v xml:space="preserve">Band Target </v>
      </c>
      <c r="F164" s="34" t="s">
        <v>83</v>
      </c>
      <c r="G164" s="50" t="s">
        <v>257</v>
      </c>
    </row>
    <row r="165" spans="1:7">
      <c r="A165" s="34" t="s">
        <v>268</v>
      </c>
      <c r="B165" s="34"/>
      <c r="C165" s="34"/>
      <c r="D165" s="47" t="s">
        <v>207</v>
      </c>
      <c r="E165" s="35" t="str">
        <f t="shared" si="6"/>
        <v xml:space="preserve">Band Target </v>
      </c>
      <c r="F165" s="34" t="s">
        <v>84</v>
      </c>
      <c r="G165" s="50" t="s">
        <v>258</v>
      </c>
    </row>
    <row r="166" spans="1:7">
      <c r="A166" s="34" t="s">
        <v>268</v>
      </c>
      <c r="B166" s="34"/>
      <c r="C166" s="34"/>
      <c r="D166" s="47" t="s">
        <v>207</v>
      </c>
      <c r="E166" s="35" t="str">
        <f t="shared" si="6"/>
        <v xml:space="preserve">Band Target </v>
      </c>
      <c r="F166" s="34" t="s">
        <v>85</v>
      </c>
      <c r="G166" s="50" t="s">
        <v>259</v>
      </c>
    </row>
    <row r="167" spans="1:7">
      <c r="A167" s="34" t="s">
        <v>268</v>
      </c>
      <c r="B167" s="34"/>
      <c r="C167" s="34"/>
      <c r="D167" s="47" t="s">
        <v>207</v>
      </c>
      <c r="E167" s="35" t="str">
        <f t="shared" si="6"/>
        <v xml:space="preserve">Band Target </v>
      </c>
      <c r="F167" s="34" t="s">
        <v>86</v>
      </c>
      <c r="G167" s="50" t="s">
        <v>257</v>
      </c>
    </row>
    <row r="168" spans="1:7">
      <c r="A168" s="34" t="s">
        <v>268</v>
      </c>
      <c r="B168" s="34"/>
      <c r="C168" s="34"/>
      <c r="D168" s="47" t="s">
        <v>207</v>
      </c>
      <c r="E168" s="35" t="str">
        <f t="shared" si="6"/>
        <v xml:space="preserve">Band Target </v>
      </c>
      <c r="F168" s="34" t="s">
        <v>87</v>
      </c>
      <c r="G168" s="50" t="s">
        <v>257</v>
      </c>
    </row>
    <row r="169" spans="1:7">
      <c r="A169" s="34" t="s">
        <v>268</v>
      </c>
      <c r="B169" s="34"/>
      <c r="C169" s="34"/>
      <c r="D169" s="47" t="s">
        <v>207</v>
      </c>
      <c r="E169" s="35" t="str">
        <f t="shared" si="6"/>
        <v xml:space="preserve">Band Target </v>
      </c>
      <c r="F169" s="34" t="s">
        <v>88</v>
      </c>
      <c r="G169" s="50" t="s">
        <v>256</v>
      </c>
    </row>
    <row r="170" spans="1:7">
      <c r="A170" s="34" t="s">
        <v>268</v>
      </c>
      <c r="B170" s="34"/>
      <c r="C170" s="34"/>
      <c r="D170" s="47" t="s">
        <v>207</v>
      </c>
      <c r="E170" s="35" t="str">
        <f t="shared" si="6"/>
        <v xml:space="preserve">Band Target </v>
      </c>
      <c r="F170" s="34" t="s">
        <v>89</v>
      </c>
      <c r="G170" s="50" t="s">
        <v>260</v>
      </c>
    </row>
    <row r="171" spans="1:7">
      <c r="A171" s="34" t="s">
        <v>268</v>
      </c>
      <c r="B171" s="34"/>
      <c r="C171" s="34"/>
      <c r="D171" s="47" t="s">
        <v>207</v>
      </c>
      <c r="E171" s="35" t="str">
        <f t="shared" si="6"/>
        <v xml:space="preserve">Band Target </v>
      </c>
      <c r="F171" s="34" t="s">
        <v>90</v>
      </c>
      <c r="G171" s="50" t="s">
        <v>227</v>
      </c>
    </row>
    <row r="172" spans="1:7">
      <c r="A172" s="34" t="s">
        <v>268</v>
      </c>
      <c r="B172" s="34"/>
      <c r="C172" s="34"/>
      <c r="D172" s="47" t="s">
        <v>207</v>
      </c>
      <c r="E172" s="35" t="str">
        <f t="shared" si="6"/>
        <v xml:space="preserve">Band Target </v>
      </c>
      <c r="F172" s="34" t="s">
        <v>91</v>
      </c>
      <c r="G172" s="50" t="s">
        <v>255</v>
      </c>
    </row>
    <row r="173" spans="1:7">
      <c r="A173" s="34" t="s">
        <v>268</v>
      </c>
      <c r="B173" s="34"/>
      <c r="C173" s="34"/>
      <c r="D173" s="47" t="s">
        <v>207</v>
      </c>
      <c r="E173" s="35" t="str">
        <f t="shared" si="6"/>
        <v xml:space="preserve">Band Target </v>
      </c>
      <c r="F173" s="34" t="s">
        <v>92</v>
      </c>
      <c r="G173" s="50" t="s">
        <v>255</v>
      </c>
    </row>
    <row r="174" spans="1:7">
      <c r="A174" s="34" t="s">
        <v>268</v>
      </c>
      <c r="B174" s="34"/>
      <c r="C174" s="34"/>
      <c r="D174" s="47" t="s">
        <v>207</v>
      </c>
      <c r="E174" s="35" t="str">
        <f t="shared" si="6"/>
        <v xml:space="preserve">Band Target </v>
      </c>
      <c r="F174" s="34" t="s">
        <v>93</v>
      </c>
      <c r="G174" s="50" t="s">
        <v>227</v>
      </c>
    </row>
    <row r="175" spans="1:7">
      <c r="A175" s="34" t="s">
        <v>268</v>
      </c>
      <c r="B175" s="34"/>
      <c r="C175" s="34"/>
      <c r="D175" s="47" t="s">
        <v>207</v>
      </c>
      <c r="E175" s="35" t="str">
        <f t="shared" si="6"/>
        <v xml:space="preserve">Band Target </v>
      </c>
      <c r="F175" s="34" t="s">
        <v>94</v>
      </c>
      <c r="G175" s="50" t="s">
        <v>261</v>
      </c>
    </row>
    <row r="176" spans="1:7">
      <c r="A176" s="34" t="s">
        <v>268</v>
      </c>
      <c r="B176" s="34"/>
      <c r="C176" s="34"/>
      <c r="D176" s="47" t="s">
        <v>207</v>
      </c>
      <c r="E176" s="35" t="str">
        <f t="shared" si="6"/>
        <v xml:space="preserve">Band Target </v>
      </c>
      <c r="F176" s="34" t="s">
        <v>95</v>
      </c>
      <c r="G176" s="50" t="s">
        <v>262</v>
      </c>
    </row>
    <row r="177" spans="1:7">
      <c r="A177" s="34" t="s">
        <v>268</v>
      </c>
      <c r="B177" s="34"/>
      <c r="C177" s="34"/>
      <c r="D177" s="47" t="s">
        <v>207</v>
      </c>
      <c r="E177" s="35" t="s">
        <v>153</v>
      </c>
      <c r="F177" s="34" t="s">
        <v>154</v>
      </c>
      <c r="G177" s="50" t="s">
        <v>101</v>
      </c>
    </row>
    <row r="178" spans="1:7">
      <c r="A178" s="34" t="s">
        <v>268</v>
      </c>
      <c r="B178" s="34"/>
      <c r="C178" s="34"/>
      <c r="D178" s="47" t="s">
        <v>207</v>
      </c>
      <c r="E178" s="35" t="str">
        <f>E177</f>
        <v>UI default setting</v>
      </c>
      <c r="F178" s="34" t="s">
        <v>152</v>
      </c>
      <c r="G178" s="50" t="s">
        <v>101</v>
      </c>
    </row>
    <row r="179" spans="1:7" ht="12" hidden="1" customHeight="1">
      <c r="A179" s="72" t="s">
        <v>271</v>
      </c>
      <c r="B179" s="57" t="s">
        <v>211</v>
      </c>
      <c r="C179" s="34"/>
      <c r="D179" s="46" t="s">
        <v>129</v>
      </c>
      <c r="E179" s="54" t="s">
        <v>65</v>
      </c>
      <c r="F179" s="34" t="s">
        <v>66</v>
      </c>
      <c r="G179" s="50" t="s">
        <v>101</v>
      </c>
    </row>
    <row r="180" spans="1:7" hidden="1">
      <c r="A180" s="72" t="s">
        <v>271</v>
      </c>
      <c r="B180" s="57" t="s">
        <v>217</v>
      </c>
      <c r="C180" s="34"/>
      <c r="D180" s="47" t="s">
        <v>208</v>
      </c>
      <c r="E180" s="54" t="str">
        <f>E179</f>
        <v>Dolby Speaker Configuration</v>
      </c>
      <c r="F180" s="34" t="s">
        <v>67</v>
      </c>
      <c r="G180" s="50" t="s">
        <v>101</v>
      </c>
    </row>
    <row r="181" spans="1:7" hidden="1">
      <c r="A181" s="72" t="s">
        <v>271</v>
      </c>
      <c r="B181" s="57" t="s">
        <v>216</v>
      </c>
      <c r="C181" s="34"/>
      <c r="D181" s="47" t="s">
        <v>208</v>
      </c>
      <c r="E181" s="54" t="str">
        <f>E180</f>
        <v>Dolby Speaker Configuration</v>
      </c>
      <c r="F181" s="34" t="s">
        <v>68</v>
      </c>
      <c r="G181" s="50" t="s">
        <v>101</v>
      </c>
    </row>
    <row r="182" spans="1:7" hidden="1">
      <c r="A182" s="72" t="s">
        <v>271</v>
      </c>
      <c r="B182" s="57" t="s">
        <v>218</v>
      </c>
      <c r="C182" s="34"/>
      <c r="D182" s="47" t="s">
        <v>208</v>
      </c>
      <c r="E182" s="54" t="str">
        <f>E181</f>
        <v>Dolby Speaker Configuration</v>
      </c>
      <c r="F182" s="34" t="s">
        <v>69</v>
      </c>
      <c r="G182" s="50" t="s">
        <v>101</v>
      </c>
    </row>
    <row r="183" spans="1:7" hidden="1">
      <c r="A183" s="72" t="s">
        <v>271</v>
      </c>
      <c r="B183" s="72"/>
      <c r="C183" s="34"/>
      <c r="D183" s="47" t="s">
        <v>208</v>
      </c>
      <c r="E183" s="54" t="str">
        <f>E182</f>
        <v>Dolby Speaker Configuration</v>
      </c>
      <c r="F183" s="34" t="s">
        <v>155</v>
      </c>
      <c r="G183" s="50" t="s">
        <v>221</v>
      </c>
    </row>
    <row r="184" spans="1:7" hidden="1">
      <c r="A184" s="72" t="s">
        <v>271</v>
      </c>
      <c r="B184" s="57" t="s">
        <v>219</v>
      </c>
      <c r="C184" s="34"/>
      <c r="D184" s="47" t="s">
        <v>208</v>
      </c>
      <c r="E184" s="54" t="s">
        <v>171</v>
      </c>
      <c r="F184" s="34" t="s">
        <v>171</v>
      </c>
      <c r="G184" s="50" t="s">
        <v>101</v>
      </c>
    </row>
    <row r="185" spans="1:7" hidden="1">
      <c r="A185" s="72" t="s">
        <v>271</v>
      </c>
      <c r="B185" s="34"/>
      <c r="C185" s="34"/>
      <c r="D185" s="47" t="s">
        <v>208</v>
      </c>
      <c r="E185" s="54" t="s">
        <v>46</v>
      </c>
      <c r="F185" s="34" t="s">
        <v>156</v>
      </c>
      <c r="G185" s="50" t="s">
        <v>101</v>
      </c>
    </row>
    <row r="186" spans="1:7" hidden="1">
      <c r="A186" s="72" t="s">
        <v>271</v>
      </c>
      <c r="B186" s="57" t="s">
        <v>214</v>
      </c>
      <c r="C186" s="34"/>
      <c r="D186" s="47" t="s">
        <v>208</v>
      </c>
      <c r="E186" s="54" t="s">
        <v>63</v>
      </c>
      <c r="F186" s="34" t="s">
        <v>127</v>
      </c>
      <c r="G186" s="50" t="s">
        <v>101</v>
      </c>
    </row>
    <row r="187" spans="1:7" hidden="1">
      <c r="A187" s="72" t="s">
        <v>271</v>
      </c>
      <c r="B187" s="53" t="s">
        <v>212</v>
      </c>
      <c r="C187" s="34"/>
      <c r="D187" s="47" t="s">
        <v>208</v>
      </c>
      <c r="E187" s="54" t="str">
        <f>E186</f>
        <v>Dialog Enhancement</v>
      </c>
      <c r="F187" s="34" t="s">
        <v>134</v>
      </c>
      <c r="G187" s="50" t="s">
        <v>228</v>
      </c>
    </row>
    <row r="188" spans="1:7" hidden="1">
      <c r="A188" s="72" t="s">
        <v>271</v>
      </c>
      <c r="B188" s="53" t="s">
        <v>212</v>
      </c>
      <c r="C188" s="34"/>
      <c r="D188" s="47" t="s">
        <v>208</v>
      </c>
      <c r="E188" s="54" t="str">
        <f>E187</f>
        <v>Dialog Enhancement</v>
      </c>
      <c r="F188" s="34" t="s">
        <v>135</v>
      </c>
      <c r="G188" s="50" t="s">
        <v>101</v>
      </c>
    </row>
    <row r="189" spans="1:7" hidden="1">
      <c r="A189" s="72" t="s">
        <v>271</v>
      </c>
      <c r="B189" s="57" t="s">
        <v>212</v>
      </c>
      <c r="C189" s="34"/>
      <c r="D189" s="47" t="s">
        <v>208</v>
      </c>
      <c r="E189" s="54" t="str">
        <f>E188</f>
        <v>Dialog Enhancement</v>
      </c>
      <c r="F189" s="34" t="s">
        <v>136</v>
      </c>
      <c r="G189" s="50" t="s">
        <v>101</v>
      </c>
    </row>
    <row r="190" spans="1:7" hidden="1">
      <c r="A190" s="72" t="s">
        <v>271</v>
      </c>
      <c r="B190" s="57" t="s">
        <v>213</v>
      </c>
      <c r="C190" s="34"/>
      <c r="D190" s="47" t="s">
        <v>208</v>
      </c>
      <c r="E190" s="54" t="str">
        <f>E189</f>
        <v>Dialog Enhancement</v>
      </c>
      <c r="F190" s="34" t="s">
        <v>70</v>
      </c>
      <c r="G190" s="50" t="s">
        <v>101</v>
      </c>
    </row>
    <row r="191" spans="1:7" hidden="1">
      <c r="A191" s="72" t="s">
        <v>271</v>
      </c>
      <c r="B191" s="53" t="s">
        <v>215</v>
      </c>
      <c r="C191" s="34"/>
      <c r="D191" s="47" t="s">
        <v>208</v>
      </c>
      <c r="E191" s="54" t="str">
        <f>E190</f>
        <v>Dialog Enhancement</v>
      </c>
      <c r="F191" s="34" t="s">
        <v>42</v>
      </c>
      <c r="G191" s="50" t="s">
        <v>225</v>
      </c>
    </row>
    <row r="192" spans="1:7" hidden="1">
      <c r="A192" s="72" t="s">
        <v>271</v>
      </c>
      <c r="B192" s="57" t="s">
        <v>285</v>
      </c>
      <c r="C192" s="34"/>
      <c r="D192" s="47" t="s">
        <v>208</v>
      </c>
      <c r="E192" s="55" t="s">
        <v>62</v>
      </c>
      <c r="F192" s="34" t="s">
        <v>40</v>
      </c>
      <c r="G192" s="50" t="s">
        <v>101</v>
      </c>
    </row>
    <row r="193" spans="1:7" hidden="1">
      <c r="A193" s="72" t="s">
        <v>271</v>
      </c>
      <c r="B193" s="53" t="s">
        <v>286</v>
      </c>
      <c r="C193" s="34"/>
      <c r="D193" s="47" t="s">
        <v>208</v>
      </c>
      <c r="E193" s="54" t="str">
        <f>E192</f>
        <v>Surround</v>
      </c>
      <c r="F193" s="34" t="s">
        <v>41</v>
      </c>
      <c r="G193" s="50" t="s">
        <v>101</v>
      </c>
    </row>
    <row r="194" spans="1:7" hidden="1">
      <c r="A194" s="72" t="s">
        <v>271</v>
      </c>
      <c r="B194" s="34"/>
      <c r="C194" s="34"/>
      <c r="D194" s="47" t="s">
        <v>208</v>
      </c>
      <c r="E194" s="54" t="str">
        <f>E193</f>
        <v>Surround</v>
      </c>
      <c r="F194" s="34" t="s">
        <v>157</v>
      </c>
      <c r="G194" s="50" t="s">
        <v>224</v>
      </c>
    </row>
    <row r="195" spans="1:7" hidden="1">
      <c r="A195" s="72" t="s">
        <v>271</v>
      </c>
      <c r="B195" s="53" t="s">
        <v>284</v>
      </c>
      <c r="C195" s="34"/>
      <c r="D195" s="47" t="s">
        <v>208</v>
      </c>
      <c r="E195" s="54" t="str">
        <f>E194</f>
        <v>Surround</v>
      </c>
      <c r="F195" s="34" t="s">
        <v>131</v>
      </c>
      <c r="G195" s="50" t="s">
        <v>263</v>
      </c>
    </row>
    <row r="196" spans="1:7" hidden="1">
      <c r="A196" s="72" t="s">
        <v>271</v>
      </c>
      <c r="B196" s="53" t="s">
        <v>284</v>
      </c>
      <c r="C196" s="34"/>
      <c r="D196" s="47" t="s">
        <v>208</v>
      </c>
      <c r="E196" s="54" t="str">
        <f>E195</f>
        <v>Surround</v>
      </c>
      <c r="F196" s="34" t="s">
        <v>132</v>
      </c>
      <c r="G196" s="50" t="s">
        <v>101</v>
      </c>
    </row>
    <row r="197" spans="1:7" hidden="1">
      <c r="A197" s="72" t="s">
        <v>271</v>
      </c>
      <c r="B197" s="57" t="s">
        <v>284</v>
      </c>
      <c r="C197" s="34"/>
      <c r="D197" s="47" t="s">
        <v>208</v>
      </c>
      <c r="E197" s="54" t="str">
        <f>E196</f>
        <v>Surround</v>
      </c>
      <c r="F197" s="34" t="s">
        <v>133</v>
      </c>
      <c r="G197" s="50" t="s">
        <v>101</v>
      </c>
    </row>
    <row r="198" spans="1:7" hidden="1">
      <c r="A198" s="72" t="s">
        <v>271</v>
      </c>
      <c r="B198" s="57" t="s">
        <v>274</v>
      </c>
      <c r="C198" s="34"/>
      <c r="D198" s="47" t="s">
        <v>208</v>
      </c>
      <c r="E198" s="54" t="s">
        <v>64</v>
      </c>
      <c r="F198" s="34" t="s">
        <v>43</v>
      </c>
      <c r="G198" s="50" t="s">
        <v>101</v>
      </c>
    </row>
    <row r="199" spans="1:7" hidden="1">
      <c r="A199" s="72" t="s">
        <v>271</v>
      </c>
      <c r="B199" s="53" t="s">
        <v>275</v>
      </c>
      <c r="C199" s="34"/>
      <c r="D199" s="47" t="s">
        <v>208</v>
      </c>
      <c r="E199" s="54" t="str">
        <f>E198</f>
        <v>Bass Enhancer</v>
      </c>
      <c r="F199" s="34" t="s">
        <v>137</v>
      </c>
      <c r="G199" s="50" t="s">
        <v>263</v>
      </c>
    </row>
    <row r="200" spans="1:7" hidden="1">
      <c r="A200" s="72" t="s">
        <v>271</v>
      </c>
      <c r="B200" s="53" t="s">
        <v>275</v>
      </c>
      <c r="C200" s="34"/>
      <c r="D200" s="47" t="s">
        <v>208</v>
      </c>
      <c r="E200" s="54" t="str">
        <f>E199</f>
        <v>Bass Enhancer</v>
      </c>
      <c r="F200" s="34" t="s">
        <v>138</v>
      </c>
      <c r="G200" s="50" t="s">
        <v>101</v>
      </c>
    </row>
    <row r="201" spans="1:7" hidden="1">
      <c r="A201" s="72" t="s">
        <v>271</v>
      </c>
      <c r="B201" s="57" t="s">
        <v>275</v>
      </c>
      <c r="C201" s="34"/>
      <c r="D201" s="47" t="s">
        <v>208</v>
      </c>
      <c r="E201" s="54" t="str">
        <f>E200</f>
        <v>Bass Enhancer</v>
      </c>
      <c r="F201" s="34" t="s">
        <v>139</v>
      </c>
      <c r="G201" s="50" t="s">
        <v>101</v>
      </c>
    </row>
    <row r="202" spans="1:7" hidden="1">
      <c r="A202" s="72" t="s">
        <v>271</v>
      </c>
      <c r="B202" s="57" t="s">
        <v>277</v>
      </c>
      <c r="C202" s="34"/>
      <c r="D202" s="47" t="s">
        <v>208</v>
      </c>
      <c r="E202" s="54" t="str">
        <f>E201</f>
        <v>Bass Enhancer</v>
      </c>
      <c r="F202" s="34" t="s">
        <v>44</v>
      </c>
      <c r="G202" s="50" t="s">
        <v>222</v>
      </c>
    </row>
    <row r="203" spans="1:7" hidden="1">
      <c r="A203" s="72" t="s">
        <v>271</v>
      </c>
      <c r="B203" s="57" t="s">
        <v>276</v>
      </c>
      <c r="C203" s="34"/>
      <c r="D203" s="47" t="s">
        <v>208</v>
      </c>
      <c r="E203" s="54" t="str">
        <f>E202</f>
        <v>Bass Enhancer</v>
      </c>
      <c r="F203" s="34" t="s">
        <v>45</v>
      </c>
      <c r="G203" s="50" t="s">
        <v>228</v>
      </c>
    </row>
    <row r="204" spans="1:7" hidden="1">
      <c r="A204" s="72" t="s">
        <v>271</v>
      </c>
      <c r="B204" s="36"/>
      <c r="C204" s="36"/>
      <c r="D204" s="47" t="s">
        <v>208</v>
      </c>
      <c r="E204" s="56" t="s">
        <v>168</v>
      </c>
      <c r="F204" s="36" t="s">
        <v>158</v>
      </c>
      <c r="G204" s="50" t="s">
        <v>101</v>
      </c>
    </row>
    <row r="205" spans="1:7" hidden="1">
      <c r="A205" s="72" t="s">
        <v>271</v>
      </c>
      <c r="B205" s="36"/>
      <c r="C205" s="36"/>
      <c r="D205" s="47" t="s">
        <v>208</v>
      </c>
      <c r="E205" s="54" t="str">
        <f t="shared" ref="E205:E213" si="7">E204</f>
        <v>Virtual_Bass</v>
      </c>
      <c r="F205" s="36" t="s">
        <v>159</v>
      </c>
      <c r="G205" s="50" t="s">
        <v>229</v>
      </c>
    </row>
    <row r="206" spans="1:7" hidden="1">
      <c r="A206" s="72" t="s">
        <v>271</v>
      </c>
      <c r="B206" s="36"/>
      <c r="C206" s="36"/>
      <c r="D206" s="47" t="s">
        <v>208</v>
      </c>
      <c r="E206" s="54" t="str">
        <f t="shared" si="7"/>
        <v>Virtual_Bass</v>
      </c>
      <c r="F206" s="36" t="s">
        <v>160</v>
      </c>
      <c r="G206" s="50" t="s">
        <v>230</v>
      </c>
    </row>
    <row r="207" spans="1:7" hidden="1">
      <c r="A207" s="72" t="s">
        <v>271</v>
      </c>
      <c r="B207" s="36"/>
      <c r="C207" s="36"/>
      <c r="D207" s="47" t="s">
        <v>208</v>
      </c>
      <c r="E207" s="54" t="str">
        <f t="shared" si="7"/>
        <v>Virtual_Bass</v>
      </c>
      <c r="F207" s="36" t="s">
        <v>161</v>
      </c>
      <c r="G207" s="50" t="s">
        <v>101</v>
      </c>
    </row>
    <row r="208" spans="1:7" hidden="1">
      <c r="A208" s="72" t="s">
        <v>271</v>
      </c>
      <c r="B208" s="36"/>
      <c r="C208" s="36"/>
      <c r="D208" s="47" t="s">
        <v>208</v>
      </c>
      <c r="E208" s="54" t="str">
        <f t="shared" si="7"/>
        <v>Virtual_Bass</v>
      </c>
      <c r="F208" s="36" t="s">
        <v>162</v>
      </c>
      <c r="G208" s="50" t="s">
        <v>101</v>
      </c>
    </row>
    <row r="209" spans="1:7" hidden="1">
      <c r="A209" s="72" t="s">
        <v>271</v>
      </c>
      <c r="B209" s="36"/>
      <c r="C209" s="36"/>
      <c r="D209" s="47" t="s">
        <v>208</v>
      </c>
      <c r="E209" s="54" t="str">
        <f t="shared" si="7"/>
        <v>Virtual_Bass</v>
      </c>
      <c r="F209" s="36" t="s">
        <v>163</v>
      </c>
      <c r="G209" s="50" t="s">
        <v>231</v>
      </c>
    </row>
    <row r="210" spans="1:7" hidden="1">
      <c r="A210" s="72" t="s">
        <v>271</v>
      </c>
      <c r="B210" s="36"/>
      <c r="C210" s="36"/>
      <c r="D210" s="47" t="s">
        <v>208</v>
      </c>
      <c r="E210" s="54" t="str">
        <f t="shared" si="7"/>
        <v>Virtual_Bass</v>
      </c>
      <c r="F210" s="36" t="s">
        <v>164</v>
      </c>
      <c r="G210" s="50" t="s">
        <v>232</v>
      </c>
    </row>
    <row r="211" spans="1:7" hidden="1">
      <c r="A211" s="72" t="s">
        <v>271</v>
      </c>
      <c r="B211" s="36"/>
      <c r="C211" s="36"/>
      <c r="D211" s="47" t="s">
        <v>208</v>
      </c>
      <c r="E211" s="54" t="str">
        <f t="shared" si="7"/>
        <v>Virtual_Bass</v>
      </c>
      <c r="F211" s="36" t="s">
        <v>165</v>
      </c>
      <c r="G211" s="50" t="s">
        <v>233</v>
      </c>
    </row>
    <row r="212" spans="1:7" hidden="1">
      <c r="A212" s="72" t="s">
        <v>271</v>
      </c>
      <c r="B212" s="36"/>
      <c r="C212" s="36"/>
      <c r="D212" s="47" t="s">
        <v>208</v>
      </c>
      <c r="E212" s="54" t="str">
        <f t="shared" si="7"/>
        <v>Virtual_Bass</v>
      </c>
      <c r="F212" s="36" t="s">
        <v>166</v>
      </c>
      <c r="G212" s="50" t="s">
        <v>234</v>
      </c>
    </row>
    <row r="213" spans="1:7" hidden="1">
      <c r="A213" s="72" t="s">
        <v>271</v>
      </c>
      <c r="B213" s="36"/>
      <c r="C213" s="36"/>
      <c r="D213" s="47" t="s">
        <v>208</v>
      </c>
      <c r="E213" s="54" t="str">
        <f t="shared" si="7"/>
        <v>Virtual_Bass</v>
      </c>
      <c r="F213" s="36" t="s">
        <v>167</v>
      </c>
      <c r="G213" s="50" t="s">
        <v>235</v>
      </c>
    </row>
    <row r="214" spans="1:7" hidden="1">
      <c r="A214" s="72" t="s">
        <v>271</v>
      </c>
      <c r="B214" s="57" t="s">
        <v>278</v>
      </c>
      <c r="C214" s="34"/>
      <c r="D214" s="47" t="s">
        <v>208</v>
      </c>
      <c r="E214" s="56" t="s">
        <v>71</v>
      </c>
      <c r="F214" s="34" t="s">
        <v>72</v>
      </c>
      <c r="G214" s="50" t="s">
        <v>101</v>
      </c>
    </row>
    <row r="215" spans="1:7" hidden="1">
      <c r="A215" s="72" t="s">
        <v>271</v>
      </c>
      <c r="B215" s="53" t="s">
        <v>279</v>
      </c>
      <c r="C215" s="34"/>
      <c r="D215" s="47" t="s">
        <v>208</v>
      </c>
      <c r="E215" s="54" t="str">
        <f>E214</f>
        <v>Graphic EQ</v>
      </c>
      <c r="F215" s="34" t="s">
        <v>73</v>
      </c>
      <c r="G215" s="50" t="s">
        <v>236</v>
      </c>
    </row>
    <row r="216" spans="1:7" hidden="1">
      <c r="A216" s="72" t="s">
        <v>271</v>
      </c>
      <c r="B216" s="53" t="s">
        <v>279</v>
      </c>
      <c r="C216" s="34"/>
      <c r="D216" s="47" t="s">
        <v>208</v>
      </c>
      <c r="E216" s="54" t="s">
        <v>74</v>
      </c>
      <c r="F216" s="34" t="s">
        <v>18</v>
      </c>
      <c r="G216" s="50" t="s">
        <v>237</v>
      </c>
    </row>
    <row r="217" spans="1:7" hidden="1">
      <c r="A217" s="72" t="s">
        <v>271</v>
      </c>
      <c r="B217" s="34"/>
      <c r="C217" s="34"/>
      <c r="D217" s="47" t="s">
        <v>208</v>
      </c>
      <c r="E217" s="54" t="str">
        <f t="shared" ref="E217:E235" si="8">E216</f>
        <v>Band Center</v>
      </c>
      <c r="F217" s="34" t="s">
        <v>19</v>
      </c>
      <c r="G217" s="50" t="s">
        <v>238</v>
      </c>
    </row>
    <row r="218" spans="1:7" hidden="1">
      <c r="A218" s="72" t="s">
        <v>271</v>
      </c>
      <c r="B218" s="34"/>
      <c r="C218" s="34"/>
      <c r="D218" s="47" t="s">
        <v>208</v>
      </c>
      <c r="E218" s="54" t="str">
        <f t="shared" si="8"/>
        <v>Band Center</v>
      </c>
      <c r="F218" s="34" t="s">
        <v>20</v>
      </c>
      <c r="G218" s="50" t="s">
        <v>239</v>
      </c>
    </row>
    <row r="219" spans="1:7" hidden="1">
      <c r="A219" s="72" t="s">
        <v>271</v>
      </c>
      <c r="B219" s="34"/>
      <c r="C219" s="34"/>
      <c r="D219" s="47" t="s">
        <v>208</v>
      </c>
      <c r="E219" s="54" t="str">
        <f t="shared" si="8"/>
        <v>Band Center</v>
      </c>
      <c r="F219" s="34" t="s">
        <v>21</v>
      </c>
      <c r="G219" s="50" t="s">
        <v>240</v>
      </c>
    </row>
    <row r="220" spans="1:7" hidden="1">
      <c r="A220" s="72" t="s">
        <v>271</v>
      </c>
      <c r="B220" s="34"/>
      <c r="C220" s="34"/>
      <c r="D220" s="47" t="s">
        <v>208</v>
      </c>
      <c r="E220" s="54" t="str">
        <f t="shared" si="8"/>
        <v>Band Center</v>
      </c>
      <c r="F220" s="34" t="s">
        <v>22</v>
      </c>
      <c r="G220" s="50" t="s">
        <v>235</v>
      </c>
    </row>
    <row r="221" spans="1:7" hidden="1">
      <c r="A221" s="72" t="s">
        <v>271</v>
      </c>
      <c r="B221" s="34"/>
      <c r="C221" s="34"/>
      <c r="D221" s="47" t="s">
        <v>208</v>
      </c>
      <c r="E221" s="54" t="str">
        <f t="shared" si="8"/>
        <v>Band Center</v>
      </c>
      <c r="F221" s="34" t="s">
        <v>23</v>
      </c>
      <c r="G221" s="50" t="s">
        <v>241</v>
      </c>
    </row>
    <row r="222" spans="1:7" hidden="1">
      <c r="A222" s="72" t="s">
        <v>271</v>
      </c>
      <c r="B222" s="34"/>
      <c r="C222" s="34"/>
      <c r="D222" s="47" t="s">
        <v>208</v>
      </c>
      <c r="E222" s="54" t="str">
        <f t="shared" si="8"/>
        <v>Band Center</v>
      </c>
      <c r="F222" s="34" t="s">
        <v>24</v>
      </c>
      <c r="G222" s="50" t="s">
        <v>242</v>
      </c>
    </row>
    <row r="223" spans="1:7" hidden="1">
      <c r="A223" s="72" t="s">
        <v>271</v>
      </c>
      <c r="B223" s="34"/>
      <c r="C223" s="34"/>
      <c r="D223" s="47" t="s">
        <v>208</v>
      </c>
      <c r="E223" s="54" t="str">
        <f t="shared" si="8"/>
        <v>Band Center</v>
      </c>
      <c r="F223" s="34" t="s">
        <v>25</v>
      </c>
      <c r="G223" s="50" t="s">
        <v>243</v>
      </c>
    </row>
    <row r="224" spans="1:7" hidden="1">
      <c r="A224" s="72" t="s">
        <v>271</v>
      </c>
      <c r="B224" s="34"/>
      <c r="C224" s="34"/>
      <c r="D224" s="47" t="s">
        <v>208</v>
      </c>
      <c r="E224" s="54" t="str">
        <f t="shared" si="8"/>
        <v>Band Center</v>
      </c>
      <c r="F224" s="34" t="s">
        <v>26</v>
      </c>
      <c r="G224" s="50" t="s">
        <v>244</v>
      </c>
    </row>
    <row r="225" spans="1:7" hidden="1">
      <c r="A225" s="72" t="s">
        <v>271</v>
      </c>
      <c r="B225" s="34"/>
      <c r="C225" s="34"/>
      <c r="D225" s="47" t="s">
        <v>208</v>
      </c>
      <c r="E225" s="54" t="str">
        <f t="shared" si="8"/>
        <v>Band Center</v>
      </c>
      <c r="F225" s="34" t="s">
        <v>27</v>
      </c>
      <c r="G225" s="50" t="s">
        <v>245</v>
      </c>
    </row>
    <row r="226" spans="1:7" hidden="1">
      <c r="A226" s="72" t="s">
        <v>271</v>
      </c>
      <c r="B226" s="34"/>
      <c r="C226" s="34"/>
      <c r="D226" s="47" t="s">
        <v>208</v>
      </c>
      <c r="E226" s="54" t="str">
        <f t="shared" si="8"/>
        <v>Band Center</v>
      </c>
      <c r="F226" s="34" t="s">
        <v>28</v>
      </c>
      <c r="G226" s="50" t="s">
        <v>246</v>
      </c>
    </row>
    <row r="227" spans="1:7" hidden="1">
      <c r="A227" s="72" t="s">
        <v>271</v>
      </c>
      <c r="B227" s="34"/>
      <c r="C227" s="34"/>
      <c r="D227" s="47" t="s">
        <v>208</v>
      </c>
      <c r="E227" s="54" t="str">
        <f t="shared" si="8"/>
        <v>Band Center</v>
      </c>
      <c r="F227" s="34" t="s">
        <v>29</v>
      </c>
      <c r="G227" s="50" t="s">
        <v>223</v>
      </c>
    </row>
    <row r="228" spans="1:7" hidden="1">
      <c r="A228" s="72" t="s">
        <v>271</v>
      </c>
      <c r="B228" s="34"/>
      <c r="C228" s="34"/>
      <c r="D228" s="47" t="s">
        <v>208</v>
      </c>
      <c r="E228" s="54" t="str">
        <f t="shared" si="8"/>
        <v>Band Center</v>
      </c>
      <c r="F228" s="34" t="s">
        <v>30</v>
      </c>
      <c r="G228" s="50" t="s">
        <v>247</v>
      </c>
    </row>
    <row r="229" spans="1:7" hidden="1">
      <c r="A229" s="72" t="s">
        <v>271</v>
      </c>
      <c r="B229" s="34"/>
      <c r="C229" s="34"/>
      <c r="D229" s="47" t="s">
        <v>208</v>
      </c>
      <c r="E229" s="54" t="str">
        <f t="shared" si="8"/>
        <v>Band Center</v>
      </c>
      <c r="F229" s="34" t="s">
        <v>31</v>
      </c>
      <c r="G229" s="50" t="s">
        <v>248</v>
      </c>
    </row>
    <row r="230" spans="1:7" hidden="1">
      <c r="A230" s="72" t="s">
        <v>271</v>
      </c>
      <c r="B230" s="34"/>
      <c r="C230" s="34"/>
      <c r="D230" s="47" t="s">
        <v>208</v>
      </c>
      <c r="E230" s="54" t="str">
        <f t="shared" si="8"/>
        <v>Band Center</v>
      </c>
      <c r="F230" s="34" t="s">
        <v>32</v>
      </c>
      <c r="G230" s="50" t="s">
        <v>249</v>
      </c>
    </row>
    <row r="231" spans="1:7" hidden="1">
      <c r="A231" s="72" t="s">
        <v>271</v>
      </c>
      <c r="B231" s="34"/>
      <c r="C231" s="34"/>
      <c r="D231" s="47" t="s">
        <v>208</v>
      </c>
      <c r="E231" s="54" t="str">
        <f t="shared" si="8"/>
        <v>Band Center</v>
      </c>
      <c r="F231" s="34" t="s">
        <v>33</v>
      </c>
      <c r="G231" s="50" t="s">
        <v>250</v>
      </c>
    </row>
    <row r="232" spans="1:7" hidden="1">
      <c r="A232" s="72" t="s">
        <v>271</v>
      </c>
      <c r="B232" s="34"/>
      <c r="C232" s="34"/>
      <c r="D232" s="47" t="s">
        <v>208</v>
      </c>
      <c r="E232" s="54" t="str">
        <f t="shared" si="8"/>
        <v>Band Center</v>
      </c>
      <c r="F232" s="34" t="s">
        <v>34</v>
      </c>
      <c r="G232" s="50" t="s">
        <v>251</v>
      </c>
    </row>
    <row r="233" spans="1:7" hidden="1">
      <c r="A233" s="72" t="s">
        <v>271</v>
      </c>
      <c r="B233" s="34"/>
      <c r="C233" s="34"/>
      <c r="D233" s="47" t="s">
        <v>208</v>
      </c>
      <c r="E233" s="54" t="str">
        <f t="shared" si="8"/>
        <v>Band Center</v>
      </c>
      <c r="F233" s="34" t="s">
        <v>35</v>
      </c>
      <c r="G233" s="50" t="s">
        <v>252</v>
      </c>
    </row>
    <row r="234" spans="1:7" hidden="1">
      <c r="A234" s="72" t="s">
        <v>271</v>
      </c>
      <c r="B234" s="34"/>
      <c r="C234" s="34"/>
      <c r="D234" s="47" t="s">
        <v>208</v>
      </c>
      <c r="E234" s="54" t="str">
        <f t="shared" si="8"/>
        <v>Band Center</v>
      </c>
      <c r="F234" s="34" t="s">
        <v>36</v>
      </c>
      <c r="G234" s="50" t="s">
        <v>253</v>
      </c>
    </row>
    <row r="235" spans="1:7" hidden="1">
      <c r="A235" s="72" t="s">
        <v>271</v>
      </c>
      <c r="B235" s="34"/>
      <c r="C235" s="34"/>
      <c r="D235" s="47" t="s">
        <v>208</v>
      </c>
      <c r="E235" s="54" t="str">
        <f t="shared" si="8"/>
        <v>Band Center</v>
      </c>
      <c r="F235" s="34" t="s">
        <v>37</v>
      </c>
      <c r="G235" s="50" t="s">
        <v>254</v>
      </c>
    </row>
    <row r="236" spans="1:7" hidden="1">
      <c r="A236" s="72" t="s">
        <v>271</v>
      </c>
      <c r="B236" s="34"/>
      <c r="C236" s="34"/>
      <c r="D236" s="47" t="s">
        <v>208</v>
      </c>
      <c r="E236" s="54" t="s">
        <v>75</v>
      </c>
      <c r="F236" s="34" t="s">
        <v>76</v>
      </c>
      <c r="G236" s="50" t="s">
        <v>101</v>
      </c>
    </row>
    <row r="237" spans="1:7" hidden="1">
      <c r="A237" s="72" t="s">
        <v>271</v>
      </c>
      <c r="B237" s="34"/>
      <c r="C237" s="34"/>
      <c r="D237" s="47" t="s">
        <v>208</v>
      </c>
      <c r="E237" s="54" t="str">
        <f t="shared" ref="E237:E255" si="9">E236</f>
        <v>Band Target</v>
      </c>
      <c r="F237" s="34" t="s">
        <v>77</v>
      </c>
      <c r="G237" s="50" t="s">
        <v>101</v>
      </c>
    </row>
    <row r="238" spans="1:7" hidden="1">
      <c r="A238" s="72" t="s">
        <v>271</v>
      </c>
      <c r="B238" s="34"/>
      <c r="C238" s="34"/>
      <c r="D238" s="47" t="s">
        <v>208</v>
      </c>
      <c r="E238" s="54" t="str">
        <f t="shared" si="9"/>
        <v>Band Target</v>
      </c>
      <c r="F238" s="34" t="s">
        <v>78</v>
      </c>
      <c r="G238" s="50" t="s">
        <v>101</v>
      </c>
    </row>
    <row r="239" spans="1:7" hidden="1">
      <c r="A239" s="72" t="s">
        <v>271</v>
      </c>
      <c r="B239" s="34"/>
      <c r="C239" s="34"/>
      <c r="D239" s="47" t="s">
        <v>208</v>
      </c>
      <c r="E239" s="54" t="str">
        <f t="shared" si="9"/>
        <v>Band Target</v>
      </c>
      <c r="F239" s="34" t="s">
        <v>79</v>
      </c>
      <c r="G239" s="50" t="s">
        <v>101</v>
      </c>
    </row>
    <row r="240" spans="1:7" hidden="1">
      <c r="A240" s="72" t="s">
        <v>271</v>
      </c>
      <c r="B240" s="34"/>
      <c r="C240" s="34"/>
      <c r="D240" s="47" t="s">
        <v>208</v>
      </c>
      <c r="E240" s="54" t="str">
        <f t="shared" si="9"/>
        <v>Band Target</v>
      </c>
      <c r="F240" s="34" t="s">
        <v>80</v>
      </c>
      <c r="G240" s="50" t="s">
        <v>101</v>
      </c>
    </row>
    <row r="241" spans="1:7" hidden="1">
      <c r="A241" s="72" t="s">
        <v>271</v>
      </c>
      <c r="B241" s="34"/>
      <c r="C241" s="34"/>
      <c r="D241" s="47" t="s">
        <v>208</v>
      </c>
      <c r="E241" s="54" t="str">
        <f t="shared" si="9"/>
        <v>Band Target</v>
      </c>
      <c r="F241" s="34" t="s">
        <v>81</v>
      </c>
      <c r="G241" s="50" t="s">
        <v>101</v>
      </c>
    </row>
    <row r="242" spans="1:7" hidden="1">
      <c r="A242" s="72" t="s">
        <v>271</v>
      </c>
      <c r="B242" s="34"/>
      <c r="C242" s="34"/>
      <c r="D242" s="47" t="s">
        <v>208</v>
      </c>
      <c r="E242" s="54" t="str">
        <f t="shared" si="9"/>
        <v>Band Target</v>
      </c>
      <c r="F242" s="34" t="s">
        <v>82</v>
      </c>
      <c r="G242" s="50" t="s">
        <v>101</v>
      </c>
    </row>
    <row r="243" spans="1:7" hidden="1">
      <c r="A243" s="72" t="s">
        <v>271</v>
      </c>
      <c r="B243" s="34"/>
      <c r="C243" s="34"/>
      <c r="D243" s="47" t="s">
        <v>208</v>
      </c>
      <c r="E243" s="54" t="str">
        <f t="shared" si="9"/>
        <v>Band Target</v>
      </c>
      <c r="F243" s="34" t="s">
        <v>83</v>
      </c>
      <c r="G243" s="50" t="s">
        <v>101</v>
      </c>
    </row>
    <row r="244" spans="1:7" hidden="1">
      <c r="A244" s="72" t="s">
        <v>271</v>
      </c>
      <c r="B244" s="34"/>
      <c r="C244" s="34"/>
      <c r="D244" s="47" t="s">
        <v>208</v>
      </c>
      <c r="E244" s="54" t="str">
        <f t="shared" si="9"/>
        <v>Band Target</v>
      </c>
      <c r="F244" s="34" t="s">
        <v>84</v>
      </c>
      <c r="G244" s="50" t="s">
        <v>101</v>
      </c>
    </row>
    <row r="245" spans="1:7" hidden="1">
      <c r="A245" s="72" t="s">
        <v>271</v>
      </c>
      <c r="B245" s="34"/>
      <c r="C245" s="34"/>
      <c r="D245" s="47" t="s">
        <v>208</v>
      </c>
      <c r="E245" s="54" t="str">
        <f t="shared" si="9"/>
        <v>Band Target</v>
      </c>
      <c r="F245" s="34" t="s">
        <v>85</v>
      </c>
      <c r="G245" s="50" t="s">
        <v>101</v>
      </c>
    </row>
    <row r="246" spans="1:7" hidden="1">
      <c r="A246" s="72" t="s">
        <v>271</v>
      </c>
      <c r="B246" s="34"/>
      <c r="C246" s="34"/>
      <c r="D246" s="47" t="s">
        <v>208</v>
      </c>
      <c r="E246" s="54" t="str">
        <f t="shared" si="9"/>
        <v>Band Target</v>
      </c>
      <c r="F246" s="34" t="s">
        <v>86</v>
      </c>
      <c r="G246" s="50" t="s">
        <v>101</v>
      </c>
    </row>
    <row r="247" spans="1:7" hidden="1">
      <c r="A247" s="72" t="s">
        <v>271</v>
      </c>
      <c r="B247" s="34"/>
      <c r="C247" s="34"/>
      <c r="D247" s="47" t="s">
        <v>208</v>
      </c>
      <c r="E247" s="54" t="str">
        <f t="shared" si="9"/>
        <v>Band Target</v>
      </c>
      <c r="F247" s="34" t="s">
        <v>87</v>
      </c>
      <c r="G247" s="50" t="s">
        <v>101</v>
      </c>
    </row>
    <row r="248" spans="1:7" hidden="1">
      <c r="A248" s="72" t="s">
        <v>271</v>
      </c>
      <c r="B248" s="34"/>
      <c r="C248" s="34"/>
      <c r="D248" s="47" t="s">
        <v>208</v>
      </c>
      <c r="E248" s="54" t="str">
        <f t="shared" si="9"/>
        <v>Band Target</v>
      </c>
      <c r="F248" s="34" t="s">
        <v>88</v>
      </c>
      <c r="G248" s="50" t="s">
        <v>101</v>
      </c>
    </row>
    <row r="249" spans="1:7" hidden="1">
      <c r="A249" s="72" t="s">
        <v>271</v>
      </c>
      <c r="B249" s="34"/>
      <c r="C249" s="34"/>
      <c r="D249" s="47" t="s">
        <v>208</v>
      </c>
      <c r="E249" s="54" t="str">
        <f t="shared" si="9"/>
        <v>Band Target</v>
      </c>
      <c r="F249" s="34" t="s">
        <v>89</v>
      </c>
      <c r="G249" s="50" t="s">
        <v>101</v>
      </c>
    </row>
    <row r="250" spans="1:7" hidden="1">
      <c r="A250" s="72" t="s">
        <v>271</v>
      </c>
      <c r="B250" s="34"/>
      <c r="C250" s="34"/>
      <c r="D250" s="47" t="s">
        <v>208</v>
      </c>
      <c r="E250" s="54" t="str">
        <f t="shared" si="9"/>
        <v>Band Target</v>
      </c>
      <c r="F250" s="34" t="s">
        <v>90</v>
      </c>
      <c r="G250" s="50" t="s">
        <v>101</v>
      </c>
    </row>
    <row r="251" spans="1:7" hidden="1">
      <c r="A251" s="72" t="s">
        <v>271</v>
      </c>
      <c r="B251" s="34"/>
      <c r="C251" s="34"/>
      <c r="D251" s="47" t="s">
        <v>208</v>
      </c>
      <c r="E251" s="54" t="str">
        <f t="shared" si="9"/>
        <v>Band Target</v>
      </c>
      <c r="F251" s="34" t="s">
        <v>91</v>
      </c>
      <c r="G251" s="50" t="s">
        <v>101</v>
      </c>
    </row>
    <row r="252" spans="1:7" hidden="1">
      <c r="A252" s="72" t="s">
        <v>271</v>
      </c>
      <c r="B252" s="34"/>
      <c r="C252" s="34"/>
      <c r="D252" s="47" t="s">
        <v>208</v>
      </c>
      <c r="E252" s="54" t="str">
        <f t="shared" si="9"/>
        <v>Band Target</v>
      </c>
      <c r="F252" s="34" t="s">
        <v>92</v>
      </c>
      <c r="G252" s="50" t="s">
        <v>101</v>
      </c>
    </row>
    <row r="253" spans="1:7" hidden="1">
      <c r="A253" s="72" t="s">
        <v>271</v>
      </c>
      <c r="B253" s="34"/>
      <c r="C253" s="34"/>
      <c r="D253" s="47" t="s">
        <v>208</v>
      </c>
      <c r="E253" s="54" t="str">
        <f t="shared" si="9"/>
        <v>Band Target</v>
      </c>
      <c r="F253" s="34" t="s">
        <v>93</v>
      </c>
      <c r="G253" s="50" t="s">
        <v>101</v>
      </c>
    </row>
    <row r="254" spans="1:7" hidden="1">
      <c r="A254" s="72" t="s">
        <v>271</v>
      </c>
      <c r="B254" s="34"/>
      <c r="C254" s="34"/>
      <c r="D254" s="47" t="s">
        <v>208</v>
      </c>
      <c r="E254" s="54" t="str">
        <f t="shared" si="9"/>
        <v>Band Target</v>
      </c>
      <c r="F254" s="34" t="s">
        <v>94</v>
      </c>
      <c r="G254" s="50" t="s">
        <v>101</v>
      </c>
    </row>
    <row r="255" spans="1:7" hidden="1">
      <c r="A255" s="72" t="s">
        <v>271</v>
      </c>
      <c r="B255" s="34"/>
      <c r="C255" s="34"/>
      <c r="D255" s="47" t="s">
        <v>208</v>
      </c>
      <c r="E255" s="54" t="str">
        <f t="shared" si="9"/>
        <v>Band Target</v>
      </c>
      <c r="F255" s="34" t="s">
        <v>95</v>
      </c>
      <c r="G255" s="50" t="s">
        <v>101</v>
      </c>
    </row>
    <row r="256" spans="1:7" hidden="1">
      <c r="A256" s="72" t="s">
        <v>271</v>
      </c>
      <c r="B256" s="57" t="s">
        <v>278</v>
      </c>
      <c r="C256" s="34"/>
      <c r="D256" s="47" t="s">
        <v>208</v>
      </c>
      <c r="E256" s="56" t="s">
        <v>96</v>
      </c>
      <c r="F256" s="34" t="s">
        <v>72</v>
      </c>
      <c r="G256" s="50" t="s">
        <v>101</v>
      </c>
    </row>
    <row r="257" spans="1:7" hidden="1">
      <c r="A257" s="72" t="s">
        <v>271</v>
      </c>
      <c r="B257" s="57" t="s">
        <v>283</v>
      </c>
      <c r="C257" s="34"/>
      <c r="D257" s="47" t="s">
        <v>208</v>
      </c>
      <c r="E257" s="54" t="str">
        <f>E256</f>
        <v>Graphic EQ(Wallmount)</v>
      </c>
      <c r="F257" s="34" t="s">
        <v>73</v>
      </c>
      <c r="G257" s="50" t="s">
        <v>236</v>
      </c>
    </row>
    <row r="258" spans="1:7" hidden="1">
      <c r="A258" s="72" t="s">
        <v>271</v>
      </c>
      <c r="B258" s="34"/>
      <c r="C258" s="34"/>
      <c r="D258" s="47" t="s">
        <v>208</v>
      </c>
      <c r="E258" s="54" t="s">
        <v>74</v>
      </c>
      <c r="F258" s="34" t="s">
        <v>18</v>
      </c>
      <c r="G258" s="50" t="s">
        <v>237</v>
      </c>
    </row>
    <row r="259" spans="1:7" hidden="1">
      <c r="A259" s="72" t="s">
        <v>271</v>
      </c>
      <c r="B259" s="34"/>
      <c r="C259" s="34"/>
      <c r="D259" s="47" t="s">
        <v>208</v>
      </c>
      <c r="E259" s="54" t="str">
        <f t="shared" ref="E259:E277" si="10">E258</f>
        <v>Band Center</v>
      </c>
      <c r="F259" s="34" t="s">
        <v>19</v>
      </c>
      <c r="G259" s="50" t="s">
        <v>238</v>
      </c>
    </row>
    <row r="260" spans="1:7" hidden="1">
      <c r="A260" s="72" t="s">
        <v>271</v>
      </c>
      <c r="B260" s="34"/>
      <c r="C260" s="34"/>
      <c r="D260" s="47" t="s">
        <v>208</v>
      </c>
      <c r="E260" s="54" t="str">
        <f t="shared" si="10"/>
        <v>Band Center</v>
      </c>
      <c r="F260" s="34" t="s">
        <v>20</v>
      </c>
      <c r="G260" s="50" t="s">
        <v>239</v>
      </c>
    </row>
    <row r="261" spans="1:7" hidden="1">
      <c r="A261" s="72" t="s">
        <v>271</v>
      </c>
      <c r="B261" s="34"/>
      <c r="C261" s="34"/>
      <c r="D261" s="47" t="s">
        <v>208</v>
      </c>
      <c r="E261" s="54" t="str">
        <f t="shared" si="10"/>
        <v>Band Center</v>
      </c>
      <c r="F261" s="34" t="s">
        <v>21</v>
      </c>
      <c r="G261" s="50" t="s">
        <v>240</v>
      </c>
    </row>
    <row r="262" spans="1:7" hidden="1">
      <c r="A262" s="72" t="s">
        <v>271</v>
      </c>
      <c r="B262" s="34"/>
      <c r="C262" s="34"/>
      <c r="D262" s="47" t="s">
        <v>208</v>
      </c>
      <c r="E262" s="54" t="str">
        <f t="shared" si="10"/>
        <v>Band Center</v>
      </c>
      <c r="F262" s="34" t="s">
        <v>22</v>
      </c>
      <c r="G262" s="50" t="s">
        <v>235</v>
      </c>
    </row>
    <row r="263" spans="1:7" hidden="1">
      <c r="A263" s="72" t="s">
        <v>271</v>
      </c>
      <c r="B263" s="34"/>
      <c r="C263" s="34"/>
      <c r="D263" s="47" t="s">
        <v>208</v>
      </c>
      <c r="E263" s="54" t="str">
        <f t="shared" si="10"/>
        <v>Band Center</v>
      </c>
      <c r="F263" s="34" t="s">
        <v>23</v>
      </c>
      <c r="G263" s="50" t="s">
        <v>241</v>
      </c>
    </row>
    <row r="264" spans="1:7" hidden="1">
      <c r="A264" s="72" t="s">
        <v>271</v>
      </c>
      <c r="B264" s="34"/>
      <c r="C264" s="34"/>
      <c r="D264" s="47" t="s">
        <v>208</v>
      </c>
      <c r="E264" s="54" t="str">
        <f t="shared" si="10"/>
        <v>Band Center</v>
      </c>
      <c r="F264" s="34" t="s">
        <v>24</v>
      </c>
      <c r="G264" s="50" t="s">
        <v>242</v>
      </c>
    </row>
    <row r="265" spans="1:7" hidden="1">
      <c r="A265" s="72" t="s">
        <v>271</v>
      </c>
      <c r="B265" s="34"/>
      <c r="C265" s="34"/>
      <c r="D265" s="47" t="s">
        <v>208</v>
      </c>
      <c r="E265" s="54" t="str">
        <f t="shared" si="10"/>
        <v>Band Center</v>
      </c>
      <c r="F265" s="34" t="s">
        <v>25</v>
      </c>
      <c r="G265" s="50" t="s">
        <v>243</v>
      </c>
    </row>
    <row r="266" spans="1:7" hidden="1">
      <c r="A266" s="72" t="s">
        <v>271</v>
      </c>
      <c r="B266" s="34"/>
      <c r="C266" s="34"/>
      <c r="D266" s="47" t="s">
        <v>208</v>
      </c>
      <c r="E266" s="54" t="str">
        <f t="shared" si="10"/>
        <v>Band Center</v>
      </c>
      <c r="F266" s="34" t="s">
        <v>26</v>
      </c>
      <c r="G266" s="50" t="s">
        <v>244</v>
      </c>
    </row>
    <row r="267" spans="1:7" hidden="1">
      <c r="A267" s="72" t="s">
        <v>271</v>
      </c>
      <c r="B267" s="34"/>
      <c r="C267" s="34"/>
      <c r="D267" s="47" t="s">
        <v>208</v>
      </c>
      <c r="E267" s="54" t="str">
        <f t="shared" si="10"/>
        <v>Band Center</v>
      </c>
      <c r="F267" s="34" t="s">
        <v>27</v>
      </c>
      <c r="G267" s="50" t="s">
        <v>245</v>
      </c>
    </row>
    <row r="268" spans="1:7" hidden="1">
      <c r="A268" s="72" t="s">
        <v>271</v>
      </c>
      <c r="B268" s="34"/>
      <c r="C268" s="34"/>
      <c r="D268" s="47" t="s">
        <v>208</v>
      </c>
      <c r="E268" s="54" t="str">
        <f t="shared" si="10"/>
        <v>Band Center</v>
      </c>
      <c r="F268" s="34" t="s">
        <v>28</v>
      </c>
      <c r="G268" s="50" t="s">
        <v>246</v>
      </c>
    </row>
    <row r="269" spans="1:7" hidden="1">
      <c r="A269" s="72" t="s">
        <v>271</v>
      </c>
      <c r="B269" s="34"/>
      <c r="C269" s="34"/>
      <c r="D269" s="47" t="s">
        <v>208</v>
      </c>
      <c r="E269" s="54" t="str">
        <f t="shared" si="10"/>
        <v>Band Center</v>
      </c>
      <c r="F269" s="34" t="s">
        <v>29</v>
      </c>
      <c r="G269" s="50" t="s">
        <v>223</v>
      </c>
    </row>
    <row r="270" spans="1:7" hidden="1">
      <c r="A270" s="72" t="s">
        <v>271</v>
      </c>
      <c r="B270" s="34"/>
      <c r="C270" s="34"/>
      <c r="D270" s="47" t="s">
        <v>208</v>
      </c>
      <c r="E270" s="54" t="str">
        <f t="shared" si="10"/>
        <v>Band Center</v>
      </c>
      <c r="F270" s="34" t="s">
        <v>30</v>
      </c>
      <c r="G270" s="50" t="s">
        <v>247</v>
      </c>
    </row>
    <row r="271" spans="1:7" hidden="1">
      <c r="A271" s="72" t="s">
        <v>271</v>
      </c>
      <c r="B271" s="34"/>
      <c r="C271" s="34"/>
      <c r="D271" s="47" t="s">
        <v>208</v>
      </c>
      <c r="E271" s="54" t="str">
        <f t="shared" si="10"/>
        <v>Band Center</v>
      </c>
      <c r="F271" s="34" t="s">
        <v>31</v>
      </c>
      <c r="G271" s="50" t="s">
        <v>248</v>
      </c>
    </row>
    <row r="272" spans="1:7" hidden="1">
      <c r="A272" s="72" t="s">
        <v>271</v>
      </c>
      <c r="B272" s="34"/>
      <c r="C272" s="34"/>
      <c r="D272" s="47" t="s">
        <v>208</v>
      </c>
      <c r="E272" s="54" t="str">
        <f t="shared" si="10"/>
        <v>Band Center</v>
      </c>
      <c r="F272" s="34" t="s">
        <v>32</v>
      </c>
      <c r="G272" s="50" t="s">
        <v>249</v>
      </c>
    </row>
    <row r="273" spans="1:7" hidden="1">
      <c r="A273" s="72" t="s">
        <v>271</v>
      </c>
      <c r="B273" s="34"/>
      <c r="C273" s="34"/>
      <c r="D273" s="47" t="s">
        <v>208</v>
      </c>
      <c r="E273" s="54" t="str">
        <f t="shared" si="10"/>
        <v>Band Center</v>
      </c>
      <c r="F273" s="34" t="s">
        <v>33</v>
      </c>
      <c r="G273" s="50" t="s">
        <v>250</v>
      </c>
    </row>
    <row r="274" spans="1:7" hidden="1">
      <c r="A274" s="72" t="s">
        <v>271</v>
      </c>
      <c r="B274" s="34"/>
      <c r="C274" s="34"/>
      <c r="D274" s="47" t="s">
        <v>208</v>
      </c>
      <c r="E274" s="54" t="str">
        <f t="shared" si="10"/>
        <v>Band Center</v>
      </c>
      <c r="F274" s="34" t="s">
        <v>34</v>
      </c>
      <c r="G274" s="50" t="s">
        <v>251</v>
      </c>
    </row>
    <row r="275" spans="1:7" hidden="1">
      <c r="A275" s="72" t="s">
        <v>271</v>
      </c>
      <c r="B275" s="34"/>
      <c r="C275" s="34"/>
      <c r="D275" s="47" t="s">
        <v>208</v>
      </c>
      <c r="E275" s="54" t="str">
        <f t="shared" si="10"/>
        <v>Band Center</v>
      </c>
      <c r="F275" s="34" t="s">
        <v>35</v>
      </c>
      <c r="G275" s="50" t="s">
        <v>252</v>
      </c>
    </row>
    <row r="276" spans="1:7" hidden="1">
      <c r="A276" s="72" t="s">
        <v>271</v>
      </c>
      <c r="B276" s="34"/>
      <c r="C276" s="34"/>
      <c r="D276" s="47" t="s">
        <v>208</v>
      </c>
      <c r="E276" s="54" t="str">
        <f t="shared" si="10"/>
        <v>Band Center</v>
      </c>
      <c r="F276" s="34" t="s">
        <v>36</v>
      </c>
      <c r="G276" s="50" t="s">
        <v>253</v>
      </c>
    </row>
    <row r="277" spans="1:7" hidden="1">
      <c r="A277" s="72" t="s">
        <v>271</v>
      </c>
      <c r="B277" s="34"/>
      <c r="C277" s="34"/>
      <c r="D277" s="47" t="s">
        <v>208</v>
      </c>
      <c r="E277" s="54" t="str">
        <f t="shared" si="10"/>
        <v>Band Center</v>
      </c>
      <c r="F277" s="34" t="s">
        <v>37</v>
      </c>
      <c r="G277" s="50" t="s">
        <v>254</v>
      </c>
    </row>
    <row r="278" spans="1:7" hidden="1">
      <c r="A278" s="72" t="s">
        <v>271</v>
      </c>
      <c r="B278" s="34"/>
      <c r="C278" s="34"/>
      <c r="D278" s="47" t="s">
        <v>208</v>
      </c>
      <c r="E278" s="54" t="s">
        <v>75</v>
      </c>
      <c r="F278" s="34" t="s">
        <v>76</v>
      </c>
      <c r="G278" s="50" t="s">
        <v>101</v>
      </c>
    </row>
    <row r="279" spans="1:7" hidden="1">
      <c r="A279" s="72" t="s">
        <v>271</v>
      </c>
      <c r="B279" s="34"/>
      <c r="C279" s="34"/>
      <c r="D279" s="47" t="s">
        <v>208</v>
      </c>
      <c r="E279" s="54" t="str">
        <f t="shared" ref="E279:E297" si="11">E278</f>
        <v>Band Target</v>
      </c>
      <c r="F279" s="34" t="s">
        <v>77</v>
      </c>
      <c r="G279" s="50" t="s">
        <v>101</v>
      </c>
    </row>
    <row r="280" spans="1:7" hidden="1">
      <c r="A280" s="72" t="s">
        <v>271</v>
      </c>
      <c r="B280" s="34"/>
      <c r="C280" s="34"/>
      <c r="D280" s="47" t="s">
        <v>208</v>
      </c>
      <c r="E280" s="54" t="str">
        <f t="shared" si="11"/>
        <v>Band Target</v>
      </c>
      <c r="F280" s="34" t="s">
        <v>78</v>
      </c>
      <c r="G280" s="50" t="s">
        <v>101</v>
      </c>
    </row>
    <row r="281" spans="1:7" hidden="1">
      <c r="A281" s="72" t="s">
        <v>271</v>
      </c>
      <c r="B281" s="34"/>
      <c r="C281" s="34"/>
      <c r="D281" s="47" t="s">
        <v>208</v>
      </c>
      <c r="E281" s="54" t="str">
        <f t="shared" si="11"/>
        <v>Band Target</v>
      </c>
      <c r="F281" s="34" t="s">
        <v>79</v>
      </c>
      <c r="G281" s="50" t="s">
        <v>101</v>
      </c>
    </row>
    <row r="282" spans="1:7" hidden="1">
      <c r="A282" s="72" t="s">
        <v>271</v>
      </c>
      <c r="B282" s="34"/>
      <c r="C282" s="34"/>
      <c r="D282" s="47" t="s">
        <v>208</v>
      </c>
      <c r="E282" s="54" t="str">
        <f t="shared" si="11"/>
        <v>Band Target</v>
      </c>
      <c r="F282" s="34" t="s">
        <v>80</v>
      </c>
      <c r="G282" s="50" t="s">
        <v>101</v>
      </c>
    </row>
    <row r="283" spans="1:7" hidden="1">
      <c r="A283" s="72" t="s">
        <v>271</v>
      </c>
      <c r="B283" s="34"/>
      <c r="C283" s="34"/>
      <c r="D283" s="47" t="s">
        <v>208</v>
      </c>
      <c r="E283" s="54" t="str">
        <f t="shared" si="11"/>
        <v>Band Target</v>
      </c>
      <c r="F283" s="34" t="s">
        <v>81</v>
      </c>
      <c r="G283" s="50" t="s">
        <v>101</v>
      </c>
    </row>
    <row r="284" spans="1:7" hidden="1">
      <c r="A284" s="72" t="s">
        <v>271</v>
      </c>
      <c r="B284" s="34"/>
      <c r="C284" s="34"/>
      <c r="D284" s="47" t="s">
        <v>208</v>
      </c>
      <c r="E284" s="54" t="str">
        <f t="shared" si="11"/>
        <v>Band Target</v>
      </c>
      <c r="F284" s="34" t="s">
        <v>82</v>
      </c>
      <c r="G284" s="50" t="s">
        <v>101</v>
      </c>
    </row>
    <row r="285" spans="1:7" hidden="1">
      <c r="A285" s="72" t="s">
        <v>271</v>
      </c>
      <c r="B285" s="34"/>
      <c r="C285" s="34"/>
      <c r="D285" s="47" t="s">
        <v>208</v>
      </c>
      <c r="E285" s="54" t="str">
        <f t="shared" si="11"/>
        <v>Band Target</v>
      </c>
      <c r="F285" s="34" t="s">
        <v>83</v>
      </c>
      <c r="G285" s="50" t="s">
        <v>101</v>
      </c>
    </row>
    <row r="286" spans="1:7" hidden="1">
      <c r="A286" s="72" t="s">
        <v>271</v>
      </c>
      <c r="B286" s="34"/>
      <c r="C286" s="34"/>
      <c r="D286" s="47" t="s">
        <v>208</v>
      </c>
      <c r="E286" s="54" t="str">
        <f t="shared" si="11"/>
        <v>Band Target</v>
      </c>
      <c r="F286" s="34" t="s">
        <v>84</v>
      </c>
      <c r="G286" s="50" t="s">
        <v>101</v>
      </c>
    </row>
    <row r="287" spans="1:7" hidden="1">
      <c r="A287" s="72" t="s">
        <v>271</v>
      </c>
      <c r="B287" s="34"/>
      <c r="C287" s="34"/>
      <c r="D287" s="47" t="s">
        <v>208</v>
      </c>
      <c r="E287" s="54" t="str">
        <f t="shared" si="11"/>
        <v>Band Target</v>
      </c>
      <c r="F287" s="34" t="s">
        <v>85</v>
      </c>
      <c r="G287" s="50" t="s">
        <v>101</v>
      </c>
    </row>
    <row r="288" spans="1:7" hidden="1">
      <c r="A288" s="72" t="s">
        <v>271</v>
      </c>
      <c r="B288" s="34"/>
      <c r="C288" s="34"/>
      <c r="D288" s="47" t="s">
        <v>208</v>
      </c>
      <c r="E288" s="54" t="str">
        <f t="shared" si="11"/>
        <v>Band Target</v>
      </c>
      <c r="F288" s="34" t="s">
        <v>86</v>
      </c>
      <c r="G288" s="50" t="s">
        <v>101</v>
      </c>
    </row>
    <row r="289" spans="1:7" hidden="1">
      <c r="A289" s="72" t="s">
        <v>271</v>
      </c>
      <c r="B289" s="34"/>
      <c r="C289" s="34"/>
      <c r="D289" s="47" t="s">
        <v>208</v>
      </c>
      <c r="E289" s="54" t="str">
        <f t="shared" si="11"/>
        <v>Band Target</v>
      </c>
      <c r="F289" s="34" t="s">
        <v>87</v>
      </c>
      <c r="G289" s="50" t="s">
        <v>101</v>
      </c>
    </row>
    <row r="290" spans="1:7" hidden="1">
      <c r="A290" s="72" t="s">
        <v>271</v>
      </c>
      <c r="B290" s="34"/>
      <c r="C290" s="34"/>
      <c r="D290" s="47" t="s">
        <v>208</v>
      </c>
      <c r="E290" s="54" t="str">
        <f t="shared" si="11"/>
        <v>Band Target</v>
      </c>
      <c r="F290" s="34" t="s">
        <v>88</v>
      </c>
      <c r="G290" s="50" t="s">
        <v>101</v>
      </c>
    </row>
    <row r="291" spans="1:7" hidden="1">
      <c r="A291" s="72" t="s">
        <v>271</v>
      </c>
      <c r="B291" s="34"/>
      <c r="C291" s="34"/>
      <c r="D291" s="47" t="s">
        <v>208</v>
      </c>
      <c r="E291" s="54" t="str">
        <f t="shared" si="11"/>
        <v>Band Target</v>
      </c>
      <c r="F291" s="34" t="s">
        <v>89</v>
      </c>
      <c r="G291" s="50" t="s">
        <v>101</v>
      </c>
    </row>
    <row r="292" spans="1:7" hidden="1">
      <c r="A292" s="72" t="s">
        <v>271</v>
      </c>
      <c r="B292" s="34"/>
      <c r="C292" s="34"/>
      <c r="D292" s="47" t="s">
        <v>208</v>
      </c>
      <c r="E292" s="54" t="str">
        <f t="shared" si="11"/>
        <v>Band Target</v>
      </c>
      <c r="F292" s="34" t="s">
        <v>90</v>
      </c>
      <c r="G292" s="50" t="s">
        <v>101</v>
      </c>
    </row>
    <row r="293" spans="1:7" hidden="1">
      <c r="A293" s="72" t="s">
        <v>271</v>
      </c>
      <c r="B293" s="34"/>
      <c r="C293" s="34"/>
      <c r="D293" s="47" t="s">
        <v>208</v>
      </c>
      <c r="E293" s="54" t="str">
        <f t="shared" si="11"/>
        <v>Band Target</v>
      </c>
      <c r="F293" s="34" t="s">
        <v>91</v>
      </c>
      <c r="G293" s="50" t="s">
        <v>101</v>
      </c>
    </row>
    <row r="294" spans="1:7" hidden="1">
      <c r="A294" s="72" t="s">
        <v>271</v>
      </c>
      <c r="B294" s="34"/>
      <c r="C294" s="34"/>
      <c r="D294" s="47" t="s">
        <v>208</v>
      </c>
      <c r="E294" s="54" t="str">
        <f t="shared" si="11"/>
        <v>Band Target</v>
      </c>
      <c r="F294" s="34" t="s">
        <v>92</v>
      </c>
      <c r="G294" s="50" t="s">
        <v>101</v>
      </c>
    </row>
    <row r="295" spans="1:7" hidden="1">
      <c r="A295" s="72" t="s">
        <v>271</v>
      </c>
      <c r="B295" s="34"/>
      <c r="C295" s="34"/>
      <c r="D295" s="47" t="s">
        <v>208</v>
      </c>
      <c r="E295" s="54" t="str">
        <f t="shared" si="11"/>
        <v>Band Target</v>
      </c>
      <c r="F295" s="34" t="s">
        <v>93</v>
      </c>
      <c r="G295" s="50" t="s">
        <v>101</v>
      </c>
    </row>
    <row r="296" spans="1:7" hidden="1">
      <c r="A296" s="72" t="s">
        <v>271</v>
      </c>
      <c r="B296" s="34"/>
      <c r="C296" s="34"/>
      <c r="D296" s="47" t="s">
        <v>208</v>
      </c>
      <c r="E296" s="54" t="str">
        <f t="shared" si="11"/>
        <v>Band Target</v>
      </c>
      <c r="F296" s="34" t="s">
        <v>94</v>
      </c>
      <c r="G296" s="50" t="s">
        <v>101</v>
      </c>
    </row>
    <row r="297" spans="1:7" hidden="1">
      <c r="A297" s="72" t="s">
        <v>271</v>
      </c>
      <c r="B297" s="34"/>
      <c r="C297" s="34"/>
      <c r="D297" s="47" t="s">
        <v>208</v>
      </c>
      <c r="E297" s="54" t="str">
        <f t="shared" si="11"/>
        <v>Band Target</v>
      </c>
      <c r="F297" s="34" t="s">
        <v>95</v>
      </c>
      <c r="G297" s="50" t="s">
        <v>101</v>
      </c>
    </row>
    <row r="298" spans="1:7" hidden="1">
      <c r="A298" s="72" t="s">
        <v>271</v>
      </c>
      <c r="B298" s="57" t="s">
        <v>280</v>
      </c>
      <c r="C298" s="34"/>
      <c r="D298" s="47" t="s">
        <v>208</v>
      </c>
      <c r="E298" s="54" t="s">
        <v>97</v>
      </c>
      <c r="F298" s="34" t="s">
        <v>98</v>
      </c>
      <c r="G298" s="50" t="s">
        <v>101</v>
      </c>
    </row>
    <row r="299" spans="1:7" hidden="1">
      <c r="A299" s="72" t="s">
        <v>271</v>
      </c>
      <c r="B299" s="53" t="s">
        <v>282</v>
      </c>
      <c r="C299" s="34"/>
      <c r="D299" s="47" t="s">
        <v>208</v>
      </c>
      <c r="E299" s="54" t="str">
        <f>E298</f>
        <v>Intelligent EQ</v>
      </c>
      <c r="F299" s="34" t="s">
        <v>38</v>
      </c>
      <c r="G299" s="50" t="s">
        <v>236</v>
      </c>
    </row>
    <row r="300" spans="1:7" ht="13.5" hidden="1">
      <c r="A300" s="72" t="s">
        <v>271</v>
      </c>
      <c r="B300" s="77" t="s">
        <v>281</v>
      </c>
      <c r="C300" s="34"/>
      <c r="D300" s="47" t="s">
        <v>208</v>
      </c>
      <c r="E300" s="54" t="str">
        <f>E299</f>
        <v>Intelligent EQ</v>
      </c>
      <c r="F300" s="34" t="s">
        <v>39</v>
      </c>
      <c r="G300" s="50" t="s">
        <v>101</v>
      </c>
    </row>
    <row r="301" spans="1:7" hidden="1">
      <c r="A301" s="72" t="s">
        <v>271</v>
      </c>
      <c r="B301" s="34"/>
      <c r="C301" s="34"/>
      <c r="D301" s="47" t="s">
        <v>208</v>
      </c>
      <c r="E301" s="54" t="s">
        <v>74</v>
      </c>
      <c r="F301" s="34" t="s">
        <v>18</v>
      </c>
      <c r="G301" s="50" t="s">
        <v>237</v>
      </c>
    </row>
    <row r="302" spans="1:7" hidden="1">
      <c r="A302" s="72" t="s">
        <v>271</v>
      </c>
      <c r="B302" s="34"/>
      <c r="C302" s="34"/>
      <c r="D302" s="47" t="s">
        <v>208</v>
      </c>
      <c r="E302" s="54" t="str">
        <f t="shared" ref="E302:E320" si="12">E301</f>
        <v>Band Center</v>
      </c>
      <c r="F302" s="34" t="s">
        <v>19</v>
      </c>
      <c r="G302" s="50" t="s">
        <v>238</v>
      </c>
    </row>
    <row r="303" spans="1:7" hidden="1">
      <c r="A303" s="72" t="s">
        <v>271</v>
      </c>
      <c r="B303" s="34"/>
      <c r="C303" s="34"/>
      <c r="D303" s="47" t="s">
        <v>208</v>
      </c>
      <c r="E303" s="54" t="str">
        <f t="shared" si="12"/>
        <v>Band Center</v>
      </c>
      <c r="F303" s="34" t="s">
        <v>20</v>
      </c>
      <c r="G303" s="50" t="s">
        <v>239</v>
      </c>
    </row>
    <row r="304" spans="1:7" hidden="1">
      <c r="A304" s="72" t="s">
        <v>271</v>
      </c>
      <c r="B304" s="34"/>
      <c r="C304" s="34"/>
      <c r="D304" s="47" t="s">
        <v>208</v>
      </c>
      <c r="E304" s="54" t="str">
        <f t="shared" si="12"/>
        <v>Band Center</v>
      </c>
      <c r="F304" s="34" t="s">
        <v>21</v>
      </c>
      <c r="G304" s="50" t="s">
        <v>240</v>
      </c>
    </row>
    <row r="305" spans="1:7" hidden="1">
      <c r="A305" s="72" t="s">
        <v>271</v>
      </c>
      <c r="B305" s="34"/>
      <c r="C305" s="34"/>
      <c r="D305" s="47" t="s">
        <v>208</v>
      </c>
      <c r="E305" s="54" t="str">
        <f t="shared" si="12"/>
        <v>Band Center</v>
      </c>
      <c r="F305" s="34" t="s">
        <v>22</v>
      </c>
      <c r="G305" s="50" t="s">
        <v>235</v>
      </c>
    </row>
    <row r="306" spans="1:7" hidden="1">
      <c r="A306" s="72" t="s">
        <v>271</v>
      </c>
      <c r="B306" s="34"/>
      <c r="C306" s="34"/>
      <c r="D306" s="47" t="s">
        <v>208</v>
      </c>
      <c r="E306" s="54" t="str">
        <f t="shared" si="12"/>
        <v>Band Center</v>
      </c>
      <c r="F306" s="34" t="s">
        <v>23</v>
      </c>
      <c r="G306" s="50" t="s">
        <v>241</v>
      </c>
    </row>
    <row r="307" spans="1:7" hidden="1">
      <c r="A307" s="72" t="s">
        <v>271</v>
      </c>
      <c r="B307" s="34"/>
      <c r="C307" s="34"/>
      <c r="D307" s="47" t="s">
        <v>208</v>
      </c>
      <c r="E307" s="54" t="str">
        <f t="shared" si="12"/>
        <v>Band Center</v>
      </c>
      <c r="F307" s="34" t="s">
        <v>24</v>
      </c>
      <c r="G307" s="50" t="s">
        <v>242</v>
      </c>
    </row>
    <row r="308" spans="1:7" hidden="1">
      <c r="A308" s="72" t="s">
        <v>271</v>
      </c>
      <c r="B308" s="34"/>
      <c r="C308" s="34"/>
      <c r="D308" s="47" t="s">
        <v>208</v>
      </c>
      <c r="E308" s="54" t="str">
        <f t="shared" si="12"/>
        <v>Band Center</v>
      </c>
      <c r="F308" s="34" t="s">
        <v>25</v>
      </c>
      <c r="G308" s="50" t="s">
        <v>243</v>
      </c>
    </row>
    <row r="309" spans="1:7" hidden="1">
      <c r="A309" s="72" t="s">
        <v>271</v>
      </c>
      <c r="B309" s="34"/>
      <c r="C309" s="34"/>
      <c r="D309" s="47" t="s">
        <v>208</v>
      </c>
      <c r="E309" s="54" t="str">
        <f t="shared" si="12"/>
        <v>Band Center</v>
      </c>
      <c r="F309" s="34" t="s">
        <v>26</v>
      </c>
      <c r="G309" s="50" t="s">
        <v>244</v>
      </c>
    </row>
    <row r="310" spans="1:7" hidden="1">
      <c r="A310" s="72" t="s">
        <v>271</v>
      </c>
      <c r="B310" s="34"/>
      <c r="C310" s="34"/>
      <c r="D310" s="47" t="s">
        <v>208</v>
      </c>
      <c r="E310" s="54" t="str">
        <f t="shared" si="12"/>
        <v>Band Center</v>
      </c>
      <c r="F310" s="34" t="s">
        <v>27</v>
      </c>
      <c r="G310" s="50" t="s">
        <v>245</v>
      </c>
    </row>
    <row r="311" spans="1:7" hidden="1">
      <c r="A311" s="72" t="s">
        <v>271</v>
      </c>
      <c r="B311" s="34"/>
      <c r="C311" s="34"/>
      <c r="D311" s="47" t="s">
        <v>208</v>
      </c>
      <c r="E311" s="54" t="str">
        <f t="shared" si="12"/>
        <v>Band Center</v>
      </c>
      <c r="F311" s="34" t="s">
        <v>28</v>
      </c>
      <c r="G311" s="50" t="s">
        <v>246</v>
      </c>
    </row>
    <row r="312" spans="1:7" hidden="1">
      <c r="A312" s="72" t="s">
        <v>271</v>
      </c>
      <c r="B312" s="34"/>
      <c r="C312" s="34"/>
      <c r="D312" s="47" t="s">
        <v>208</v>
      </c>
      <c r="E312" s="54" t="str">
        <f t="shared" si="12"/>
        <v>Band Center</v>
      </c>
      <c r="F312" s="34" t="s">
        <v>29</v>
      </c>
      <c r="G312" s="50" t="s">
        <v>223</v>
      </c>
    </row>
    <row r="313" spans="1:7" hidden="1">
      <c r="A313" s="72" t="s">
        <v>271</v>
      </c>
      <c r="B313" s="34"/>
      <c r="C313" s="34"/>
      <c r="D313" s="47" t="s">
        <v>208</v>
      </c>
      <c r="E313" s="54" t="str">
        <f t="shared" si="12"/>
        <v>Band Center</v>
      </c>
      <c r="F313" s="34" t="s">
        <v>30</v>
      </c>
      <c r="G313" s="50" t="s">
        <v>247</v>
      </c>
    </row>
    <row r="314" spans="1:7" hidden="1">
      <c r="A314" s="72" t="s">
        <v>271</v>
      </c>
      <c r="B314" s="34"/>
      <c r="C314" s="34"/>
      <c r="D314" s="47" t="s">
        <v>208</v>
      </c>
      <c r="E314" s="54" t="str">
        <f t="shared" si="12"/>
        <v>Band Center</v>
      </c>
      <c r="F314" s="34" t="s">
        <v>31</v>
      </c>
      <c r="G314" s="50" t="s">
        <v>248</v>
      </c>
    </row>
    <row r="315" spans="1:7" hidden="1">
      <c r="A315" s="72" t="s">
        <v>271</v>
      </c>
      <c r="B315" s="34"/>
      <c r="C315" s="34"/>
      <c r="D315" s="47" t="s">
        <v>208</v>
      </c>
      <c r="E315" s="54" t="str">
        <f t="shared" si="12"/>
        <v>Band Center</v>
      </c>
      <c r="F315" s="34" t="s">
        <v>32</v>
      </c>
      <c r="G315" s="50" t="s">
        <v>249</v>
      </c>
    </row>
    <row r="316" spans="1:7" hidden="1">
      <c r="A316" s="72" t="s">
        <v>271</v>
      </c>
      <c r="B316" s="34"/>
      <c r="C316" s="34"/>
      <c r="D316" s="47" t="s">
        <v>208</v>
      </c>
      <c r="E316" s="54" t="str">
        <f t="shared" si="12"/>
        <v>Band Center</v>
      </c>
      <c r="F316" s="34" t="s">
        <v>33</v>
      </c>
      <c r="G316" s="50" t="s">
        <v>250</v>
      </c>
    </row>
    <row r="317" spans="1:7" hidden="1">
      <c r="A317" s="72" t="s">
        <v>271</v>
      </c>
      <c r="B317" s="34"/>
      <c r="C317" s="34"/>
      <c r="D317" s="47" t="s">
        <v>208</v>
      </c>
      <c r="E317" s="54" t="str">
        <f t="shared" si="12"/>
        <v>Band Center</v>
      </c>
      <c r="F317" s="34" t="s">
        <v>34</v>
      </c>
      <c r="G317" s="50" t="s">
        <v>251</v>
      </c>
    </row>
    <row r="318" spans="1:7" hidden="1">
      <c r="A318" s="72" t="s">
        <v>271</v>
      </c>
      <c r="B318" s="34"/>
      <c r="C318" s="34"/>
      <c r="D318" s="47" t="s">
        <v>208</v>
      </c>
      <c r="E318" s="54" t="str">
        <f t="shared" si="12"/>
        <v>Band Center</v>
      </c>
      <c r="F318" s="34" t="s">
        <v>35</v>
      </c>
      <c r="G318" s="50" t="s">
        <v>252</v>
      </c>
    </row>
    <row r="319" spans="1:7" hidden="1">
      <c r="A319" s="72" t="s">
        <v>271</v>
      </c>
      <c r="B319" s="34"/>
      <c r="C319" s="34"/>
      <c r="D319" s="47" t="s">
        <v>208</v>
      </c>
      <c r="E319" s="54" t="str">
        <f t="shared" si="12"/>
        <v>Band Center</v>
      </c>
      <c r="F319" s="34" t="s">
        <v>36</v>
      </c>
      <c r="G319" s="50" t="s">
        <v>253</v>
      </c>
    </row>
    <row r="320" spans="1:7" hidden="1">
      <c r="A320" s="72" t="s">
        <v>271</v>
      </c>
      <c r="B320" s="34"/>
      <c r="C320" s="34"/>
      <c r="D320" s="47" t="s">
        <v>208</v>
      </c>
      <c r="E320" s="54" t="str">
        <f t="shared" si="12"/>
        <v>Band Center</v>
      </c>
      <c r="F320" s="34" t="s">
        <v>37</v>
      </c>
      <c r="G320" s="50" t="s">
        <v>254</v>
      </c>
    </row>
    <row r="321" spans="1:7" hidden="1">
      <c r="A321" s="72" t="s">
        <v>271</v>
      </c>
      <c r="B321" s="34"/>
      <c r="C321" s="34"/>
      <c r="D321" s="47" t="s">
        <v>208</v>
      </c>
      <c r="E321" s="54" t="s">
        <v>99</v>
      </c>
      <c r="F321" s="34" t="s">
        <v>76</v>
      </c>
      <c r="G321" s="50" t="s">
        <v>255</v>
      </c>
    </row>
    <row r="322" spans="1:7" hidden="1">
      <c r="A322" s="72" t="s">
        <v>271</v>
      </c>
      <c r="B322" s="34"/>
      <c r="C322" s="34"/>
      <c r="D322" s="47" t="s">
        <v>208</v>
      </c>
      <c r="E322" s="54" t="str">
        <f t="shared" ref="E322:E340" si="13">E321</f>
        <v xml:space="preserve">Band Target </v>
      </c>
      <c r="F322" s="34" t="s">
        <v>77</v>
      </c>
      <c r="G322" s="50" t="s">
        <v>255</v>
      </c>
    </row>
    <row r="323" spans="1:7" hidden="1">
      <c r="A323" s="72" t="s">
        <v>271</v>
      </c>
      <c r="B323" s="34"/>
      <c r="C323" s="34"/>
      <c r="D323" s="47" t="s">
        <v>208</v>
      </c>
      <c r="E323" s="54" t="str">
        <f t="shared" si="13"/>
        <v xml:space="preserve">Band Target </v>
      </c>
      <c r="F323" s="34" t="s">
        <v>78</v>
      </c>
      <c r="G323" s="50" t="s">
        <v>255</v>
      </c>
    </row>
    <row r="324" spans="1:7" hidden="1">
      <c r="A324" s="72" t="s">
        <v>271</v>
      </c>
      <c r="B324" s="34"/>
      <c r="C324" s="34"/>
      <c r="D324" s="47" t="s">
        <v>208</v>
      </c>
      <c r="E324" s="54" t="str">
        <f t="shared" si="13"/>
        <v xml:space="preserve">Band Target </v>
      </c>
      <c r="F324" s="34" t="s">
        <v>79</v>
      </c>
      <c r="G324" s="50" t="s">
        <v>255</v>
      </c>
    </row>
    <row r="325" spans="1:7" hidden="1">
      <c r="A325" s="72" t="s">
        <v>271</v>
      </c>
      <c r="B325" s="34"/>
      <c r="C325" s="34"/>
      <c r="D325" s="47" t="s">
        <v>208</v>
      </c>
      <c r="E325" s="54" t="str">
        <f t="shared" si="13"/>
        <v xml:space="preserve">Band Target </v>
      </c>
      <c r="F325" s="34" t="s">
        <v>80</v>
      </c>
      <c r="G325" s="50" t="s">
        <v>256</v>
      </c>
    </row>
    <row r="326" spans="1:7" hidden="1">
      <c r="A326" s="72" t="s">
        <v>271</v>
      </c>
      <c r="B326" s="34"/>
      <c r="C326" s="34"/>
      <c r="D326" s="47" t="s">
        <v>208</v>
      </c>
      <c r="E326" s="54" t="str">
        <f t="shared" si="13"/>
        <v xml:space="preserve">Band Target </v>
      </c>
      <c r="F326" s="34" t="s">
        <v>81</v>
      </c>
      <c r="G326" s="50" t="s">
        <v>227</v>
      </c>
    </row>
    <row r="327" spans="1:7" hidden="1">
      <c r="A327" s="72" t="s">
        <v>271</v>
      </c>
      <c r="B327" s="34"/>
      <c r="C327" s="34"/>
      <c r="D327" s="47" t="s">
        <v>208</v>
      </c>
      <c r="E327" s="54" t="str">
        <f t="shared" si="13"/>
        <v xml:space="preserve">Band Target </v>
      </c>
      <c r="F327" s="34" t="s">
        <v>82</v>
      </c>
      <c r="G327" s="50" t="s">
        <v>227</v>
      </c>
    </row>
    <row r="328" spans="1:7" hidden="1">
      <c r="A328" s="72" t="s">
        <v>271</v>
      </c>
      <c r="B328" s="34"/>
      <c r="C328" s="34"/>
      <c r="D328" s="47" t="s">
        <v>208</v>
      </c>
      <c r="E328" s="54" t="str">
        <f t="shared" si="13"/>
        <v xml:space="preserve">Band Target </v>
      </c>
      <c r="F328" s="34" t="s">
        <v>83</v>
      </c>
      <c r="G328" s="50" t="s">
        <v>257</v>
      </c>
    </row>
    <row r="329" spans="1:7" hidden="1">
      <c r="A329" s="72" t="s">
        <v>271</v>
      </c>
      <c r="B329" s="34"/>
      <c r="C329" s="34"/>
      <c r="D329" s="47" t="s">
        <v>208</v>
      </c>
      <c r="E329" s="54" t="str">
        <f t="shared" si="13"/>
        <v xml:space="preserve">Band Target </v>
      </c>
      <c r="F329" s="34" t="s">
        <v>84</v>
      </c>
      <c r="G329" s="50" t="s">
        <v>258</v>
      </c>
    </row>
    <row r="330" spans="1:7" hidden="1">
      <c r="A330" s="72" t="s">
        <v>271</v>
      </c>
      <c r="B330" s="34"/>
      <c r="C330" s="34"/>
      <c r="D330" s="47" t="s">
        <v>208</v>
      </c>
      <c r="E330" s="54" t="str">
        <f t="shared" si="13"/>
        <v xml:space="preserve">Band Target </v>
      </c>
      <c r="F330" s="34" t="s">
        <v>85</v>
      </c>
      <c r="G330" s="50" t="s">
        <v>259</v>
      </c>
    </row>
    <row r="331" spans="1:7" hidden="1">
      <c r="A331" s="72" t="s">
        <v>271</v>
      </c>
      <c r="B331" s="34"/>
      <c r="C331" s="34"/>
      <c r="D331" s="47" t="s">
        <v>208</v>
      </c>
      <c r="E331" s="54" t="str">
        <f t="shared" si="13"/>
        <v xml:space="preserve">Band Target </v>
      </c>
      <c r="F331" s="34" t="s">
        <v>86</v>
      </c>
      <c r="G331" s="50" t="s">
        <v>257</v>
      </c>
    </row>
    <row r="332" spans="1:7" hidden="1">
      <c r="A332" s="72" t="s">
        <v>271</v>
      </c>
      <c r="B332" s="34"/>
      <c r="C332" s="34"/>
      <c r="D332" s="47" t="s">
        <v>208</v>
      </c>
      <c r="E332" s="54" t="str">
        <f t="shared" si="13"/>
        <v xml:space="preserve">Band Target </v>
      </c>
      <c r="F332" s="34" t="s">
        <v>87</v>
      </c>
      <c r="G332" s="50" t="s">
        <v>257</v>
      </c>
    </row>
    <row r="333" spans="1:7" hidden="1">
      <c r="A333" s="72" t="s">
        <v>271</v>
      </c>
      <c r="B333" s="34"/>
      <c r="C333" s="34"/>
      <c r="D333" s="47" t="s">
        <v>208</v>
      </c>
      <c r="E333" s="54" t="str">
        <f t="shared" si="13"/>
        <v xml:space="preserve">Band Target </v>
      </c>
      <c r="F333" s="34" t="s">
        <v>88</v>
      </c>
      <c r="G333" s="50" t="s">
        <v>256</v>
      </c>
    </row>
    <row r="334" spans="1:7" hidden="1">
      <c r="A334" s="72" t="s">
        <v>271</v>
      </c>
      <c r="B334" s="34"/>
      <c r="C334" s="34"/>
      <c r="D334" s="47" t="s">
        <v>208</v>
      </c>
      <c r="E334" s="54" t="str">
        <f t="shared" si="13"/>
        <v xml:space="preserve">Band Target </v>
      </c>
      <c r="F334" s="34" t="s">
        <v>89</v>
      </c>
      <c r="G334" s="50" t="s">
        <v>260</v>
      </c>
    </row>
    <row r="335" spans="1:7" hidden="1">
      <c r="A335" s="72" t="s">
        <v>271</v>
      </c>
      <c r="B335" s="34"/>
      <c r="C335" s="34"/>
      <c r="D335" s="47" t="s">
        <v>208</v>
      </c>
      <c r="E335" s="54" t="str">
        <f t="shared" si="13"/>
        <v xml:space="preserve">Band Target </v>
      </c>
      <c r="F335" s="34" t="s">
        <v>90</v>
      </c>
      <c r="G335" s="50" t="s">
        <v>227</v>
      </c>
    </row>
    <row r="336" spans="1:7" hidden="1">
      <c r="A336" s="72" t="s">
        <v>271</v>
      </c>
      <c r="B336" s="34"/>
      <c r="C336" s="34"/>
      <c r="D336" s="47" t="s">
        <v>208</v>
      </c>
      <c r="E336" s="54" t="str">
        <f t="shared" si="13"/>
        <v xml:space="preserve">Band Target </v>
      </c>
      <c r="F336" s="34" t="s">
        <v>91</v>
      </c>
      <c r="G336" s="50" t="s">
        <v>255</v>
      </c>
    </row>
    <row r="337" spans="1:7" hidden="1">
      <c r="A337" s="72" t="s">
        <v>271</v>
      </c>
      <c r="B337" s="34"/>
      <c r="C337" s="34"/>
      <c r="D337" s="47" t="s">
        <v>208</v>
      </c>
      <c r="E337" s="54" t="str">
        <f t="shared" si="13"/>
        <v xml:space="preserve">Band Target </v>
      </c>
      <c r="F337" s="34" t="s">
        <v>92</v>
      </c>
      <c r="G337" s="50" t="s">
        <v>255</v>
      </c>
    </row>
    <row r="338" spans="1:7" hidden="1">
      <c r="A338" s="72" t="s">
        <v>271</v>
      </c>
      <c r="B338" s="34"/>
      <c r="C338" s="34"/>
      <c r="D338" s="47" t="s">
        <v>208</v>
      </c>
      <c r="E338" s="54" t="str">
        <f t="shared" si="13"/>
        <v xml:space="preserve">Band Target </v>
      </c>
      <c r="F338" s="34" t="s">
        <v>93</v>
      </c>
      <c r="G338" s="50" t="s">
        <v>227</v>
      </c>
    </row>
    <row r="339" spans="1:7" hidden="1">
      <c r="A339" s="72" t="s">
        <v>271</v>
      </c>
      <c r="B339" s="34"/>
      <c r="C339" s="34"/>
      <c r="D339" s="47" t="s">
        <v>208</v>
      </c>
      <c r="E339" s="54" t="str">
        <f t="shared" si="13"/>
        <v xml:space="preserve">Band Target </v>
      </c>
      <c r="F339" s="34" t="s">
        <v>94</v>
      </c>
      <c r="G339" s="50" t="s">
        <v>261</v>
      </c>
    </row>
    <row r="340" spans="1:7" hidden="1">
      <c r="A340" s="72" t="s">
        <v>271</v>
      </c>
      <c r="B340" s="34"/>
      <c r="C340" s="34"/>
      <c r="D340" s="47" t="s">
        <v>208</v>
      </c>
      <c r="E340" s="54" t="str">
        <f t="shared" si="13"/>
        <v xml:space="preserve">Band Target </v>
      </c>
      <c r="F340" s="34" t="s">
        <v>95</v>
      </c>
      <c r="G340" s="50" t="s">
        <v>262</v>
      </c>
    </row>
    <row r="341" spans="1:7" hidden="1">
      <c r="A341" s="72" t="s">
        <v>271</v>
      </c>
      <c r="B341" s="34"/>
      <c r="C341" s="34"/>
      <c r="D341" s="47" t="s">
        <v>208</v>
      </c>
      <c r="E341" s="54" t="s">
        <v>153</v>
      </c>
      <c r="F341" s="34" t="s">
        <v>154</v>
      </c>
      <c r="G341" s="50" t="s">
        <v>101</v>
      </c>
    </row>
    <row r="342" spans="1:7" hidden="1">
      <c r="A342" s="72" t="s">
        <v>271</v>
      </c>
      <c r="B342" s="34"/>
      <c r="C342" s="34"/>
      <c r="D342" s="47" t="s">
        <v>208</v>
      </c>
      <c r="E342" s="54" t="str">
        <f>E341</f>
        <v>UI default setting</v>
      </c>
      <c r="F342" s="34" t="s">
        <v>152</v>
      </c>
      <c r="G342" s="50" t="s">
        <v>101</v>
      </c>
    </row>
    <row r="343" spans="1:7" ht="12" customHeight="1">
      <c r="A343" s="71" t="s">
        <v>269</v>
      </c>
      <c r="B343" s="57" t="s">
        <v>211</v>
      </c>
      <c r="C343" s="34"/>
      <c r="D343" s="69" t="s">
        <v>169</v>
      </c>
      <c r="E343" s="35" t="s">
        <v>65</v>
      </c>
      <c r="F343" s="34" t="s">
        <v>66</v>
      </c>
      <c r="G343" s="50" t="s">
        <v>101</v>
      </c>
    </row>
    <row r="344" spans="1:7" ht="12.75">
      <c r="A344" s="71" t="s">
        <v>269</v>
      </c>
      <c r="B344" s="57" t="s">
        <v>217</v>
      </c>
      <c r="C344" s="34"/>
      <c r="D344" s="70" t="s">
        <v>265</v>
      </c>
      <c r="E344" s="35" t="str">
        <f>E343</f>
        <v>Dolby Speaker Configuration</v>
      </c>
      <c r="F344" s="34" t="s">
        <v>67</v>
      </c>
      <c r="G344" s="50" t="s">
        <v>101</v>
      </c>
    </row>
    <row r="345" spans="1:7" ht="12.75">
      <c r="A345" s="71" t="s">
        <v>269</v>
      </c>
      <c r="B345" s="57" t="s">
        <v>216</v>
      </c>
      <c r="C345" s="34"/>
      <c r="D345" s="70" t="s">
        <v>265</v>
      </c>
      <c r="E345" s="35" t="str">
        <f>E344</f>
        <v>Dolby Speaker Configuration</v>
      </c>
      <c r="F345" s="34" t="s">
        <v>68</v>
      </c>
      <c r="G345" s="50" t="s">
        <v>101</v>
      </c>
    </row>
    <row r="346" spans="1:7" ht="12.75">
      <c r="A346" s="71" t="s">
        <v>269</v>
      </c>
      <c r="B346" s="57" t="s">
        <v>218</v>
      </c>
      <c r="C346" s="34"/>
      <c r="D346" s="70" t="s">
        <v>265</v>
      </c>
      <c r="E346" s="35" t="str">
        <f>E345</f>
        <v>Dolby Speaker Configuration</v>
      </c>
      <c r="F346" s="34" t="s">
        <v>69</v>
      </c>
      <c r="G346" s="50" t="s">
        <v>101</v>
      </c>
    </row>
    <row r="347" spans="1:7" ht="12.75">
      <c r="A347" s="71" t="s">
        <v>269</v>
      </c>
      <c r="B347" s="72"/>
      <c r="C347" s="34"/>
      <c r="D347" s="70" t="s">
        <v>265</v>
      </c>
      <c r="E347" s="35" t="str">
        <f>E346</f>
        <v>Dolby Speaker Configuration</v>
      </c>
      <c r="F347" s="34" t="s">
        <v>155</v>
      </c>
      <c r="G347" s="50" t="s">
        <v>221</v>
      </c>
    </row>
    <row r="348" spans="1:7" ht="12.75">
      <c r="A348" s="71" t="s">
        <v>269</v>
      </c>
      <c r="B348" s="57" t="s">
        <v>219</v>
      </c>
      <c r="C348" s="34"/>
      <c r="D348" s="70" t="s">
        <v>265</v>
      </c>
      <c r="E348" s="35" t="s">
        <v>171</v>
      </c>
      <c r="F348" s="34" t="s">
        <v>171</v>
      </c>
      <c r="G348" s="50" t="s">
        <v>101</v>
      </c>
    </row>
    <row r="349" spans="1:7" ht="12.75">
      <c r="A349" s="71" t="s">
        <v>269</v>
      </c>
      <c r="B349" s="34"/>
      <c r="C349" s="34"/>
      <c r="D349" s="70" t="s">
        <v>265</v>
      </c>
      <c r="E349" s="35" t="s">
        <v>46</v>
      </c>
      <c r="F349" s="34" t="s">
        <v>156</v>
      </c>
      <c r="G349" s="50" t="s">
        <v>101</v>
      </c>
    </row>
    <row r="350" spans="1:7" ht="12.75">
      <c r="A350" s="71" t="s">
        <v>269</v>
      </c>
      <c r="B350" s="57" t="s">
        <v>214</v>
      </c>
      <c r="C350" s="34"/>
      <c r="D350" s="70" t="s">
        <v>265</v>
      </c>
      <c r="E350" s="35" t="s">
        <v>63</v>
      </c>
      <c r="F350" s="34" t="s">
        <v>127</v>
      </c>
      <c r="G350" s="50" t="s">
        <v>101</v>
      </c>
    </row>
    <row r="351" spans="1:7" ht="12.75">
      <c r="A351" s="71" t="s">
        <v>269</v>
      </c>
      <c r="B351" s="53" t="s">
        <v>212</v>
      </c>
      <c r="C351" s="34"/>
      <c r="D351" s="70" t="s">
        <v>265</v>
      </c>
      <c r="E351" s="35" t="str">
        <f>E350</f>
        <v>Dialog Enhancement</v>
      </c>
      <c r="F351" s="34" t="s">
        <v>134</v>
      </c>
      <c r="G351" s="50" t="s">
        <v>228</v>
      </c>
    </row>
    <row r="352" spans="1:7" ht="12.75">
      <c r="A352" s="71" t="s">
        <v>269</v>
      </c>
      <c r="B352" s="53" t="s">
        <v>212</v>
      </c>
      <c r="C352" s="34"/>
      <c r="D352" s="70" t="s">
        <v>265</v>
      </c>
      <c r="E352" s="35" t="str">
        <f>E351</f>
        <v>Dialog Enhancement</v>
      </c>
      <c r="F352" s="34" t="s">
        <v>135</v>
      </c>
      <c r="G352" s="50" t="s">
        <v>101</v>
      </c>
    </row>
    <row r="353" spans="1:7" ht="12.75">
      <c r="A353" s="71" t="s">
        <v>269</v>
      </c>
      <c r="B353" s="57" t="s">
        <v>212</v>
      </c>
      <c r="C353" s="34"/>
      <c r="D353" s="70" t="s">
        <v>265</v>
      </c>
      <c r="E353" s="35" t="str">
        <f>E352</f>
        <v>Dialog Enhancement</v>
      </c>
      <c r="F353" s="34" t="s">
        <v>136</v>
      </c>
      <c r="G353" s="50" t="s">
        <v>226</v>
      </c>
    </row>
    <row r="354" spans="1:7" ht="12.75">
      <c r="A354" s="71" t="s">
        <v>269</v>
      </c>
      <c r="B354" s="57" t="s">
        <v>213</v>
      </c>
      <c r="C354" s="34"/>
      <c r="D354" s="70" t="s">
        <v>265</v>
      </c>
      <c r="E354" s="35" t="str">
        <f>E353</f>
        <v>Dialog Enhancement</v>
      </c>
      <c r="F354" s="34" t="s">
        <v>70</v>
      </c>
      <c r="G354" s="50" t="s">
        <v>101</v>
      </c>
    </row>
    <row r="355" spans="1:7" ht="12.75">
      <c r="A355" s="71" t="s">
        <v>269</v>
      </c>
      <c r="B355" s="53" t="s">
        <v>215</v>
      </c>
      <c r="C355" s="34"/>
      <c r="D355" s="70" t="s">
        <v>265</v>
      </c>
      <c r="E355" s="35" t="str">
        <f>E354</f>
        <v>Dialog Enhancement</v>
      </c>
      <c r="F355" s="34" t="s">
        <v>42</v>
      </c>
      <c r="G355" s="50" t="s">
        <v>225</v>
      </c>
    </row>
    <row r="356" spans="1:7" ht="12.75">
      <c r="A356" s="71" t="s">
        <v>269</v>
      </c>
      <c r="B356" s="57" t="s">
        <v>285</v>
      </c>
      <c r="C356" s="34"/>
      <c r="D356" s="70" t="s">
        <v>265</v>
      </c>
      <c r="E356" s="33" t="s">
        <v>62</v>
      </c>
      <c r="F356" s="34" t="s">
        <v>40</v>
      </c>
      <c r="G356" s="50" t="s">
        <v>101</v>
      </c>
    </row>
    <row r="357" spans="1:7" ht="12.75">
      <c r="A357" s="71" t="s">
        <v>269</v>
      </c>
      <c r="B357" s="53" t="s">
        <v>286</v>
      </c>
      <c r="C357" s="34"/>
      <c r="D357" s="70" t="s">
        <v>265</v>
      </c>
      <c r="E357" s="35" t="str">
        <f>E356</f>
        <v>Surround</v>
      </c>
      <c r="F357" s="34" t="s">
        <v>41</v>
      </c>
      <c r="G357" s="50" t="s">
        <v>101</v>
      </c>
    </row>
    <row r="358" spans="1:7" ht="12.75">
      <c r="A358" s="71" t="s">
        <v>269</v>
      </c>
      <c r="B358" s="34"/>
      <c r="C358" s="34"/>
      <c r="D358" s="70" t="s">
        <v>265</v>
      </c>
      <c r="E358" s="35" t="str">
        <f>E357</f>
        <v>Surround</v>
      </c>
      <c r="F358" s="34" t="s">
        <v>157</v>
      </c>
      <c r="G358" s="50" t="s">
        <v>224</v>
      </c>
    </row>
    <row r="359" spans="1:7" ht="12.75">
      <c r="A359" s="71" t="s">
        <v>269</v>
      </c>
      <c r="B359" s="53" t="s">
        <v>284</v>
      </c>
      <c r="C359" s="34"/>
      <c r="D359" s="70" t="s">
        <v>265</v>
      </c>
      <c r="E359" s="35" t="str">
        <f>E358</f>
        <v>Surround</v>
      </c>
      <c r="F359" s="34" t="s">
        <v>131</v>
      </c>
      <c r="G359" s="50" t="s">
        <v>263</v>
      </c>
    </row>
    <row r="360" spans="1:7" ht="12.75">
      <c r="A360" s="71" t="s">
        <v>269</v>
      </c>
      <c r="B360" s="53" t="s">
        <v>284</v>
      </c>
      <c r="C360" s="34"/>
      <c r="D360" s="70" t="s">
        <v>265</v>
      </c>
      <c r="E360" s="35" t="str">
        <f>E359</f>
        <v>Surround</v>
      </c>
      <c r="F360" s="34" t="s">
        <v>132</v>
      </c>
      <c r="G360" s="50" t="s">
        <v>101</v>
      </c>
    </row>
    <row r="361" spans="1:7" ht="12.75">
      <c r="A361" s="71" t="s">
        <v>269</v>
      </c>
      <c r="B361" s="57" t="s">
        <v>284</v>
      </c>
      <c r="C361" s="34"/>
      <c r="D361" s="70" t="s">
        <v>265</v>
      </c>
      <c r="E361" s="35" t="str">
        <f>E360</f>
        <v>Surround</v>
      </c>
      <c r="F361" s="34" t="s">
        <v>133</v>
      </c>
      <c r="G361" s="50" t="s">
        <v>101</v>
      </c>
    </row>
    <row r="362" spans="1:7" ht="12.75">
      <c r="A362" s="71" t="s">
        <v>269</v>
      </c>
      <c r="B362" s="57" t="s">
        <v>274</v>
      </c>
      <c r="C362" s="34"/>
      <c r="D362" s="70" t="s">
        <v>265</v>
      </c>
      <c r="E362" s="35" t="s">
        <v>64</v>
      </c>
      <c r="F362" s="34" t="s">
        <v>43</v>
      </c>
      <c r="G362" s="50" t="s">
        <v>101</v>
      </c>
    </row>
    <row r="363" spans="1:7" ht="12.75">
      <c r="A363" s="71" t="s">
        <v>269</v>
      </c>
      <c r="B363" s="53" t="s">
        <v>275</v>
      </c>
      <c r="C363" s="34"/>
      <c r="D363" s="70" t="s">
        <v>265</v>
      </c>
      <c r="E363" s="35" t="str">
        <f>E362</f>
        <v>Bass Enhancer</v>
      </c>
      <c r="F363" s="34" t="s">
        <v>137</v>
      </c>
      <c r="G363" s="50" t="s">
        <v>263</v>
      </c>
    </row>
    <row r="364" spans="1:7" ht="12.75">
      <c r="A364" s="71" t="s">
        <v>269</v>
      </c>
      <c r="B364" s="53" t="s">
        <v>275</v>
      </c>
      <c r="C364" s="34"/>
      <c r="D364" s="70" t="s">
        <v>265</v>
      </c>
      <c r="E364" s="35" t="str">
        <f>E363</f>
        <v>Bass Enhancer</v>
      </c>
      <c r="F364" s="34" t="s">
        <v>138</v>
      </c>
      <c r="G364" s="50" t="s">
        <v>101</v>
      </c>
    </row>
    <row r="365" spans="1:7" ht="12.75">
      <c r="A365" s="71" t="s">
        <v>269</v>
      </c>
      <c r="B365" s="57" t="s">
        <v>275</v>
      </c>
      <c r="C365" s="34"/>
      <c r="D365" s="70" t="s">
        <v>265</v>
      </c>
      <c r="E365" s="35" t="str">
        <f>E364</f>
        <v>Bass Enhancer</v>
      </c>
      <c r="F365" s="34" t="s">
        <v>139</v>
      </c>
      <c r="G365" s="50" t="s">
        <v>101</v>
      </c>
    </row>
    <row r="366" spans="1:7" ht="12.75">
      <c r="A366" s="71" t="s">
        <v>269</v>
      </c>
      <c r="B366" s="57" t="s">
        <v>277</v>
      </c>
      <c r="C366" s="34"/>
      <c r="D366" s="70" t="s">
        <v>265</v>
      </c>
      <c r="E366" s="35" t="str">
        <f>E365</f>
        <v>Bass Enhancer</v>
      </c>
      <c r="F366" s="34" t="s">
        <v>44</v>
      </c>
      <c r="G366" s="50" t="s">
        <v>222</v>
      </c>
    </row>
    <row r="367" spans="1:7" ht="12.75">
      <c r="A367" s="71" t="s">
        <v>269</v>
      </c>
      <c r="B367" s="57" t="s">
        <v>276</v>
      </c>
      <c r="C367" s="34"/>
      <c r="D367" s="70" t="s">
        <v>265</v>
      </c>
      <c r="E367" s="35" t="str">
        <f>E366</f>
        <v>Bass Enhancer</v>
      </c>
      <c r="F367" s="34" t="s">
        <v>45</v>
      </c>
      <c r="G367" s="50" t="s">
        <v>228</v>
      </c>
    </row>
    <row r="368" spans="1:7" ht="12.75">
      <c r="A368" s="71" t="s">
        <v>269</v>
      </c>
      <c r="B368" s="36"/>
      <c r="C368" s="36"/>
      <c r="D368" s="70" t="s">
        <v>265</v>
      </c>
      <c r="E368" s="34" t="s">
        <v>168</v>
      </c>
      <c r="F368" s="36" t="s">
        <v>158</v>
      </c>
      <c r="G368" s="50" t="s">
        <v>101</v>
      </c>
    </row>
    <row r="369" spans="1:7" ht="12.75">
      <c r="A369" s="71" t="s">
        <v>269</v>
      </c>
      <c r="B369" s="36"/>
      <c r="C369" s="36"/>
      <c r="D369" s="70" t="s">
        <v>265</v>
      </c>
      <c r="E369" s="35" t="str">
        <f t="shared" ref="E369:E377" si="14">E368</f>
        <v>Virtual_Bass</v>
      </c>
      <c r="F369" s="36" t="s">
        <v>159</v>
      </c>
      <c r="G369" s="50" t="s">
        <v>229</v>
      </c>
    </row>
    <row r="370" spans="1:7" ht="12.75">
      <c r="A370" s="71" t="s">
        <v>269</v>
      </c>
      <c r="B370" s="36"/>
      <c r="C370" s="36"/>
      <c r="D370" s="70" t="s">
        <v>265</v>
      </c>
      <c r="E370" s="35" t="str">
        <f t="shared" si="14"/>
        <v>Virtual_Bass</v>
      </c>
      <c r="F370" s="36" t="s">
        <v>160</v>
      </c>
      <c r="G370" s="50" t="s">
        <v>230</v>
      </c>
    </row>
    <row r="371" spans="1:7" ht="12.75">
      <c r="A371" s="71" t="s">
        <v>269</v>
      </c>
      <c r="B371" s="36"/>
      <c r="C371" s="36"/>
      <c r="D371" s="70" t="s">
        <v>265</v>
      </c>
      <c r="E371" s="35" t="str">
        <f t="shared" si="14"/>
        <v>Virtual_Bass</v>
      </c>
      <c r="F371" s="36" t="s">
        <v>161</v>
      </c>
      <c r="G371" s="50" t="s">
        <v>101</v>
      </c>
    </row>
    <row r="372" spans="1:7" ht="12.75">
      <c r="A372" s="71" t="s">
        <v>269</v>
      </c>
      <c r="B372" s="36"/>
      <c r="C372" s="36"/>
      <c r="D372" s="70" t="s">
        <v>265</v>
      </c>
      <c r="E372" s="35" t="str">
        <f t="shared" si="14"/>
        <v>Virtual_Bass</v>
      </c>
      <c r="F372" s="36" t="s">
        <v>162</v>
      </c>
      <c r="G372" s="50" t="s">
        <v>101</v>
      </c>
    </row>
    <row r="373" spans="1:7" ht="12.75">
      <c r="A373" s="71" t="s">
        <v>269</v>
      </c>
      <c r="B373" s="36"/>
      <c r="C373" s="36"/>
      <c r="D373" s="70" t="s">
        <v>265</v>
      </c>
      <c r="E373" s="35" t="str">
        <f t="shared" si="14"/>
        <v>Virtual_Bass</v>
      </c>
      <c r="F373" s="36" t="s">
        <v>163</v>
      </c>
      <c r="G373" s="50" t="s">
        <v>231</v>
      </c>
    </row>
    <row r="374" spans="1:7" ht="12.75">
      <c r="A374" s="71" t="s">
        <v>269</v>
      </c>
      <c r="B374" s="36"/>
      <c r="C374" s="36"/>
      <c r="D374" s="70" t="s">
        <v>265</v>
      </c>
      <c r="E374" s="35" t="str">
        <f t="shared" si="14"/>
        <v>Virtual_Bass</v>
      </c>
      <c r="F374" s="36" t="s">
        <v>164</v>
      </c>
      <c r="G374" s="50" t="s">
        <v>232</v>
      </c>
    </row>
    <row r="375" spans="1:7" ht="12.75">
      <c r="A375" s="71" t="s">
        <v>269</v>
      </c>
      <c r="B375" s="36"/>
      <c r="C375" s="36"/>
      <c r="D375" s="70" t="s">
        <v>265</v>
      </c>
      <c r="E375" s="35" t="str">
        <f t="shared" si="14"/>
        <v>Virtual_Bass</v>
      </c>
      <c r="F375" s="36" t="s">
        <v>165</v>
      </c>
      <c r="G375" s="50" t="s">
        <v>233</v>
      </c>
    </row>
    <row r="376" spans="1:7" ht="12.75">
      <c r="A376" s="71" t="s">
        <v>269</v>
      </c>
      <c r="B376" s="36"/>
      <c r="C376" s="36"/>
      <c r="D376" s="70" t="s">
        <v>265</v>
      </c>
      <c r="E376" s="35" t="str">
        <f t="shared" si="14"/>
        <v>Virtual_Bass</v>
      </c>
      <c r="F376" s="36" t="s">
        <v>166</v>
      </c>
      <c r="G376" s="50" t="s">
        <v>234</v>
      </c>
    </row>
    <row r="377" spans="1:7" ht="12.75">
      <c r="A377" s="71" t="s">
        <v>269</v>
      </c>
      <c r="B377" s="36"/>
      <c r="C377" s="36"/>
      <c r="D377" s="70" t="s">
        <v>265</v>
      </c>
      <c r="E377" s="35" t="str">
        <f t="shared" si="14"/>
        <v>Virtual_Bass</v>
      </c>
      <c r="F377" s="36" t="s">
        <v>167</v>
      </c>
      <c r="G377" s="50" t="s">
        <v>235</v>
      </c>
    </row>
    <row r="378" spans="1:7" ht="12.75">
      <c r="A378" s="71" t="s">
        <v>269</v>
      </c>
      <c r="B378" s="57" t="s">
        <v>278</v>
      </c>
      <c r="C378" s="34"/>
      <c r="D378" s="70" t="s">
        <v>265</v>
      </c>
      <c r="E378" s="34" t="s">
        <v>71</v>
      </c>
      <c r="F378" s="34" t="s">
        <v>72</v>
      </c>
      <c r="G378" s="50" t="s">
        <v>101</v>
      </c>
    </row>
    <row r="379" spans="1:7" ht="12.75">
      <c r="A379" s="71" t="s">
        <v>269</v>
      </c>
      <c r="B379" s="53" t="s">
        <v>279</v>
      </c>
      <c r="C379" s="34"/>
      <c r="D379" s="70" t="s">
        <v>265</v>
      </c>
      <c r="E379" s="35" t="str">
        <f>E378</f>
        <v>Graphic EQ</v>
      </c>
      <c r="F379" s="34" t="s">
        <v>73</v>
      </c>
      <c r="G379" s="50" t="s">
        <v>236</v>
      </c>
    </row>
    <row r="380" spans="1:7" ht="12.75">
      <c r="A380" s="71" t="s">
        <v>269</v>
      </c>
      <c r="B380" s="53" t="s">
        <v>279</v>
      </c>
      <c r="C380" s="34"/>
      <c r="D380" s="70" t="s">
        <v>265</v>
      </c>
      <c r="E380" s="35" t="s">
        <v>74</v>
      </c>
      <c r="F380" s="34" t="s">
        <v>18</v>
      </c>
      <c r="G380" s="50" t="s">
        <v>237</v>
      </c>
    </row>
    <row r="381" spans="1:7" ht="12.75">
      <c r="A381" s="71" t="s">
        <v>269</v>
      </c>
      <c r="B381" s="34"/>
      <c r="C381" s="34"/>
      <c r="D381" s="70" t="s">
        <v>265</v>
      </c>
      <c r="E381" s="35" t="str">
        <f t="shared" ref="E381:E399" si="15">E380</f>
        <v>Band Center</v>
      </c>
      <c r="F381" s="34" t="s">
        <v>19</v>
      </c>
      <c r="G381" s="50" t="s">
        <v>238</v>
      </c>
    </row>
    <row r="382" spans="1:7" ht="12.75">
      <c r="A382" s="71" t="s">
        <v>269</v>
      </c>
      <c r="B382" s="34"/>
      <c r="C382" s="34"/>
      <c r="D382" s="70" t="s">
        <v>265</v>
      </c>
      <c r="E382" s="35" t="str">
        <f t="shared" si="15"/>
        <v>Band Center</v>
      </c>
      <c r="F382" s="34" t="s">
        <v>20</v>
      </c>
      <c r="G382" s="50" t="s">
        <v>239</v>
      </c>
    </row>
    <row r="383" spans="1:7" ht="12.75">
      <c r="A383" s="71" t="s">
        <v>269</v>
      </c>
      <c r="B383" s="34"/>
      <c r="C383" s="34"/>
      <c r="D383" s="70" t="s">
        <v>265</v>
      </c>
      <c r="E383" s="35" t="str">
        <f t="shared" si="15"/>
        <v>Band Center</v>
      </c>
      <c r="F383" s="34" t="s">
        <v>21</v>
      </c>
      <c r="G383" s="50" t="s">
        <v>240</v>
      </c>
    </row>
    <row r="384" spans="1:7" ht="12.75">
      <c r="A384" s="71" t="s">
        <v>269</v>
      </c>
      <c r="B384" s="34"/>
      <c r="C384" s="34"/>
      <c r="D384" s="70" t="s">
        <v>265</v>
      </c>
      <c r="E384" s="35" t="str">
        <f t="shared" si="15"/>
        <v>Band Center</v>
      </c>
      <c r="F384" s="34" t="s">
        <v>22</v>
      </c>
      <c r="G384" s="50" t="s">
        <v>235</v>
      </c>
    </row>
    <row r="385" spans="1:7" ht="12.75">
      <c r="A385" s="71" t="s">
        <v>269</v>
      </c>
      <c r="B385" s="34"/>
      <c r="C385" s="34"/>
      <c r="D385" s="70" t="s">
        <v>265</v>
      </c>
      <c r="E385" s="35" t="str">
        <f t="shared" si="15"/>
        <v>Band Center</v>
      </c>
      <c r="F385" s="34" t="s">
        <v>23</v>
      </c>
      <c r="G385" s="50" t="s">
        <v>241</v>
      </c>
    </row>
    <row r="386" spans="1:7" ht="12.75">
      <c r="A386" s="71" t="s">
        <v>269</v>
      </c>
      <c r="B386" s="34"/>
      <c r="C386" s="34"/>
      <c r="D386" s="70" t="s">
        <v>265</v>
      </c>
      <c r="E386" s="35" t="str">
        <f t="shared" si="15"/>
        <v>Band Center</v>
      </c>
      <c r="F386" s="34" t="s">
        <v>24</v>
      </c>
      <c r="G386" s="50" t="s">
        <v>242</v>
      </c>
    </row>
    <row r="387" spans="1:7" ht="12.75">
      <c r="A387" s="71" t="s">
        <v>269</v>
      </c>
      <c r="B387" s="34"/>
      <c r="C387" s="34"/>
      <c r="D387" s="70" t="s">
        <v>265</v>
      </c>
      <c r="E387" s="35" t="str">
        <f t="shared" si="15"/>
        <v>Band Center</v>
      </c>
      <c r="F387" s="34" t="s">
        <v>25</v>
      </c>
      <c r="G387" s="50" t="s">
        <v>243</v>
      </c>
    </row>
    <row r="388" spans="1:7" ht="12.75">
      <c r="A388" s="71" t="s">
        <v>269</v>
      </c>
      <c r="B388" s="34"/>
      <c r="C388" s="34"/>
      <c r="D388" s="70" t="s">
        <v>265</v>
      </c>
      <c r="E388" s="35" t="str">
        <f t="shared" si="15"/>
        <v>Band Center</v>
      </c>
      <c r="F388" s="34" t="s">
        <v>26</v>
      </c>
      <c r="G388" s="50" t="s">
        <v>244</v>
      </c>
    </row>
    <row r="389" spans="1:7" ht="12.75">
      <c r="A389" s="71" t="s">
        <v>269</v>
      </c>
      <c r="B389" s="34"/>
      <c r="C389" s="34"/>
      <c r="D389" s="70" t="s">
        <v>265</v>
      </c>
      <c r="E389" s="35" t="str">
        <f t="shared" si="15"/>
        <v>Band Center</v>
      </c>
      <c r="F389" s="34" t="s">
        <v>27</v>
      </c>
      <c r="G389" s="50" t="s">
        <v>245</v>
      </c>
    </row>
    <row r="390" spans="1:7" ht="12.75">
      <c r="A390" s="71" t="s">
        <v>269</v>
      </c>
      <c r="B390" s="34"/>
      <c r="C390" s="34"/>
      <c r="D390" s="70" t="s">
        <v>265</v>
      </c>
      <c r="E390" s="35" t="str">
        <f t="shared" si="15"/>
        <v>Band Center</v>
      </c>
      <c r="F390" s="34" t="s">
        <v>28</v>
      </c>
      <c r="G390" s="50" t="s">
        <v>246</v>
      </c>
    </row>
    <row r="391" spans="1:7" ht="12.75">
      <c r="A391" s="71" t="s">
        <v>269</v>
      </c>
      <c r="B391" s="34"/>
      <c r="C391" s="34"/>
      <c r="D391" s="70" t="s">
        <v>265</v>
      </c>
      <c r="E391" s="35" t="str">
        <f t="shared" si="15"/>
        <v>Band Center</v>
      </c>
      <c r="F391" s="34" t="s">
        <v>29</v>
      </c>
      <c r="G391" s="50" t="s">
        <v>223</v>
      </c>
    </row>
    <row r="392" spans="1:7" ht="12.75">
      <c r="A392" s="71" t="s">
        <v>269</v>
      </c>
      <c r="B392" s="34"/>
      <c r="C392" s="34"/>
      <c r="D392" s="70" t="s">
        <v>265</v>
      </c>
      <c r="E392" s="35" t="str">
        <f t="shared" si="15"/>
        <v>Band Center</v>
      </c>
      <c r="F392" s="34" t="s">
        <v>30</v>
      </c>
      <c r="G392" s="50" t="s">
        <v>247</v>
      </c>
    </row>
    <row r="393" spans="1:7" ht="12.75">
      <c r="A393" s="71" t="s">
        <v>269</v>
      </c>
      <c r="B393" s="34"/>
      <c r="C393" s="34"/>
      <c r="D393" s="70" t="s">
        <v>265</v>
      </c>
      <c r="E393" s="35" t="str">
        <f t="shared" si="15"/>
        <v>Band Center</v>
      </c>
      <c r="F393" s="34" t="s">
        <v>31</v>
      </c>
      <c r="G393" s="50" t="s">
        <v>248</v>
      </c>
    </row>
    <row r="394" spans="1:7" ht="12.75">
      <c r="A394" s="71" t="s">
        <v>269</v>
      </c>
      <c r="B394" s="34"/>
      <c r="C394" s="34"/>
      <c r="D394" s="70" t="s">
        <v>265</v>
      </c>
      <c r="E394" s="35" t="str">
        <f t="shared" si="15"/>
        <v>Band Center</v>
      </c>
      <c r="F394" s="34" t="s">
        <v>32</v>
      </c>
      <c r="G394" s="50" t="s">
        <v>249</v>
      </c>
    </row>
    <row r="395" spans="1:7" ht="12.75">
      <c r="A395" s="71" t="s">
        <v>269</v>
      </c>
      <c r="B395" s="34"/>
      <c r="C395" s="34"/>
      <c r="D395" s="70" t="s">
        <v>265</v>
      </c>
      <c r="E395" s="35" t="str">
        <f t="shared" si="15"/>
        <v>Band Center</v>
      </c>
      <c r="F395" s="34" t="s">
        <v>33</v>
      </c>
      <c r="G395" s="50" t="s">
        <v>250</v>
      </c>
    </row>
    <row r="396" spans="1:7" ht="12.75">
      <c r="A396" s="71" t="s">
        <v>269</v>
      </c>
      <c r="B396" s="34"/>
      <c r="C396" s="34"/>
      <c r="D396" s="70" t="s">
        <v>265</v>
      </c>
      <c r="E396" s="35" t="str">
        <f t="shared" si="15"/>
        <v>Band Center</v>
      </c>
      <c r="F396" s="34" t="s">
        <v>34</v>
      </c>
      <c r="G396" s="50" t="s">
        <v>251</v>
      </c>
    </row>
    <row r="397" spans="1:7" ht="12.75">
      <c r="A397" s="71" t="s">
        <v>269</v>
      </c>
      <c r="B397" s="34"/>
      <c r="C397" s="34"/>
      <c r="D397" s="70" t="s">
        <v>265</v>
      </c>
      <c r="E397" s="35" t="str">
        <f t="shared" si="15"/>
        <v>Band Center</v>
      </c>
      <c r="F397" s="34" t="s">
        <v>35</v>
      </c>
      <c r="G397" s="50" t="s">
        <v>252</v>
      </c>
    </row>
    <row r="398" spans="1:7" ht="12.75">
      <c r="A398" s="71" t="s">
        <v>269</v>
      </c>
      <c r="B398" s="34"/>
      <c r="C398" s="34"/>
      <c r="D398" s="70" t="s">
        <v>265</v>
      </c>
      <c r="E398" s="35" t="str">
        <f t="shared" si="15"/>
        <v>Band Center</v>
      </c>
      <c r="F398" s="34" t="s">
        <v>36</v>
      </c>
      <c r="G398" s="50" t="s">
        <v>253</v>
      </c>
    </row>
    <row r="399" spans="1:7" ht="12.75">
      <c r="A399" s="71" t="s">
        <v>269</v>
      </c>
      <c r="B399" s="34"/>
      <c r="C399" s="34"/>
      <c r="D399" s="70" t="s">
        <v>265</v>
      </c>
      <c r="E399" s="35" t="str">
        <f t="shared" si="15"/>
        <v>Band Center</v>
      </c>
      <c r="F399" s="34" t="s">
        <v>37</v>
      </c>
      <c r="G399" s="50" t="s">
        <v>254</v>
      </c>
    </row>
    <row r="400" spans="1:7" ht="12.75">
      <c r="A400" s="71" t="s">
        <v>269</v>
      </c>
      <c r="B400" s="34"/>
      <c r="C400" s="34"/>
      <c r="D400" s="70" t="s">
        <v>265</v>
      </c>
      <c r="E400" s="35" t="s">
        <v>75</v>
      </c>
      <c r="F400" s="34" t="s">
        <v>76</v>
      </c>
      <c r="G400" s="50" t="s">
        <v>101</v>
      </c>
    </row>
    <row r="401" spans="1:7" ht="12.75">
      <c r="A401" s="71" t="s">
        <v>269</v>
      </c>
      <c r="B401" s="34"/>
      <c r="C401" s="34"/>
      <c r="D401" s="70" t="s">
        <v>265</v>
      </c>
      <c r="E401" s="35" t="str">
        <f t="shared" ref="E401:E419" si="16">E400</f>
        <v>Band Target</v>
      </c>
      <c r="F401" s="34" t="s">
        <v>77</v>
      </c>
      <c r="G401" s="50" t="s">
        <v>101</v>
      </c>
    </row>
    <row r="402" spans="1:7" ht="12.75">
      <c r="A402" s="71" t="s">
        <v>269</v>
      </c>
      <c r="B402" s="34"/>
      <c r="C402" s="34"/>
      <c r="D402" s="70" t="s">
        <v>265</v>
      </c>
      <c r="E402" s="35" t="str">
        <f t="shared" si="16"/>
        <v>Band Target</v>
      </c>
      <c r="F402" s="34" t="s">
        <v>78</v>
      </c>
      <c r="G402" s="50" t="s">
        <v>101</v>
      </c>
    </row>
    <row r="403" spans="1:7" ht="12.75">
      <c r="A403" s="71" t="s">
        <v>269</v>
      </c>
      <c r="B403" s="34"/>
      <c r="C403" s="34"/>
      <c r="D403" s="70" t="s">
        <v>265</v>
      </c>
      <c r="E403" s="35" t="str">
        <f t="shared" si="16"/>
        <v>Band Target</v>
      </c>
      <c r="F403" s="34" t="s">
        <v>79</v>
      </c>
      <c r="G403" s="50" t="s">
        <v>101</v>
      </c>
    </row>
    <row r="404" spans="1:7" ht="12.75">
      <c r="A404" s="71" t="s">
        <v>269</v>
      </c>
      <c r="B404" s="34"/>
      <c r="C404" s="34"/>
      <c r="D404" s="70" t="s">
        <v>265</v>
      </c>
      <c r="E404" s="35" t="str">
        <f t="shared" si="16"/>
        <v>Band Target</v>
      </c>
      <c r="F404" s="34" t="s">
        <v>80</v>
      </c>
      <c r="G404" s="50" t="s">
        <v>101</v>
      </c>
    </row>
    <row r="405" spans="1:7" ht="12.75">
      <c r="A405" s="71" t="s">
        <v>269</v>
      </c>
      <c r="B405" s="34"/>
      <c r="C405" s="34"/>
      <c r="D405" s="70" t="s">
        <v>265</v>
      </c>
      <c r="E405" s="35" t="str">
        <f t="shared" si="16"/>
        <v>Band Target</v>
      </c>
      <c r="F405" s="34" t="s">
        <v>81</v>
      </c>
      <c r="G405" s="50" t="s">
        <v>101</v>
      </c>
    </row>
    <row r="406" spans="1:7" ht="12.75">
      <c r="A406" s="71" t="s">
        <v>269</v>
      </c>
      <c r="B406" s="34"/>
      <c r="C406" s="34"/>
      <c r="D406" s="70" t="s">
        <v>265</v>
      </c>
      <c r="E406" s="35" t="str">
        <f t="shared" si="16"/>
        <v>Band Target</v>
      </c>
      <c r="F406" s="34" t="s">
        <v>82</v>
      </c>
      <c r="G406" s="50" t="s">
        <v>101</v>
      </c>
    </row>
    <row r="407" spans="1:7" ht="12.75">
      <c r="A407" s="71" t="s">
        <v>269</v>
      </c>
      <c r="B407" s="34"/>
      <c r="C407" s="34"/>
      <c r="D407" s="70" t="s">
        <v>265</v>
      </c>
      <c r="E407" s="35" t="str">
        <f t="shared" si="16"/>
        <v>Band Target</v>
      </c>
      <c r="F407" s="34" t="s">
        <v>83</v>
      </c>
      <c r="G407" s="50" t="s">
        <v>101</v>
      </c>
    </row>
    <row r="408" spans="1:7" ht="12.75">
      <c r="A408" s="71" t="s">
        <v>269</v>
      </c>
      <c r="B408" s="34"/>
      <c r="C408" s="34"/>
      <c r="D408" s="70" t="s">
        <v>265</v>
      </c>
      <c r="E408" s="35" t="str">
        <f t="shared" si="16"/>
        <v>Band Target</v>
      </c>
      <c r="F408" s="34" t="s">
        <v>84</v>
      </c>
      <c r="G408" s="50" t="s">
        <v>101</v>
      </c>
    </row>
    <row r="409" spans="1:7" ht="12.75">
      <c r="A409" s="71" t="s">
        <v>269</v>
      </c>
      <c r="B409" s="34"/>
      <c r="C409" s="34"/>
      <c r="D409" s="70" t="s">
        <v>265</v>
      </c>
      <c r="E409" s="35" t="str">
        <f t="shared" si="16"/>
        <v>Band Target</v>
      </c>
      <c r="F409" s="34" t="s">
        <v>85</v>
      </c>
      <c r="G409" s="50" t="s">
        <v>101</v>
      </c>
    </row>
    <row r="410" spans="1:7" ht="12.75">
      <c r="A410" s="71" t="s">
        <v>269</v>
      </c>
      <c r="B410" s="34"/>
      <c r="C410" s="34"/>
      <c r="D410" s="70" t="s">
        <v>265</v>
      </c>
      <c r="E410" s="35" t="str">
        <f t="shared" si="16"/>
        <v>Band Target</v>
      </c>
      <c r="F410" s="34" t="s">
        <v>86</v>
      </c>
      <c r="G410" s="50" t="s">
        <v>101</v>
      </c>
    </row>
    <row r="411" spans="1:7" ht="12.75">
      <c r="A411" s="71" t="s">
        <v>269</v>
      </c>
      <c r="B411" s="34"/>
      <c r="C411" s="34"/>
      <c r="D411" s="70" t="s">
        <v>265</v>
      </c>
      <c r="E411" s="35" t="str">
        <f t="shared" si="16"/>
        <v>Band Target</v>
      </c>
      <c r="F411" s="34" t="s">
        <v>87</v>
      </c>
      <c r="G411" s="50" t="s">
        <v>101</v>
      </c>
    </row>
    <row r="412" spans="1:7" ht="12.75">
      <c r="A412" s="71" t="s">
        <v>269</v>
      </c>
      <c r="B412" s="34"/>
      <c r="C412" s="34"/>
      <c r="D412" s="70" t="s">
        <v>265</v>
      </c>
      <c r="E412" s="35" t="str">
        <f t="shared" si="16"/>
        <v>Band Target</v>
      </c>
      <c r="F412" s="34" t="s">
        <v>88</v>
      </c>
      <c r="G412" s="50" t="s">
        <v>101</v>
      </c>
    </row>
    <row r="413" spans="1:7" ht="12.75">
      <c r="A413" s="71" t="s">
        <v>269</v>
      </c>
      <c r="B413" s="34"/>
      <c r="C413" s="34"/>
      <c r="D413" s="70" t="s">
        <v>265</v>
      </c>
      <c r="E413" s="35" t="str">
        <f t="shared" si="16"/>
        <v>Band Target</v>
      </c>
      <c r="F413" s="34" t="s">
        <v>89</v>
      </c>
      <c r="G413" s="50" t="s">
        <v>101</v>
      </c>
    </row>
    <row r="414" spans="1:7" ht="12.75">
      <c r="A414" s="71" t="s">
        <v>269</v>
      </c>
      <c r="B414" s="34"/>
      <c r="C414" s="34"/>
      <c r="D414" s="70" t="s">
        <v>265</v>
      </c>
      <c r="E414" s="35" t="str">
        <f t="shared" si="16"/>
        <v>Band Target</v>
      </c>
      <c r="F414" s="34" t="s">
        <v>90</v>
      </c>
      <c r="G414" s="50" t="s">
        <v>101</v>
      </c>
    </row>
    <row r="415" spans="1:7" ht="12.75">
      <c r="A415" s="71" t="s">
        <v>269</v>
      </c>
      <c r="B415" s="34"/>
      <c r="C415" s="34"/>
      <c r="D415" s="70" t="s">
        <v>265</v>
      </c>
      <c r="E415" s="35" t="str">
        <f t="shared" si="16"/>
        <v>Band Target</v>
      </c>
      <c r="F415" s="34" t="s">
        <v>91</v>
      </c>
      <c r="G415" s="50" t="s">
        <v>101</v>
      </c>
    </row>
    <row r="416" spans="1:7" ht="12.75">
      <c r="A416" s="71" t="s">
        <v>269</v>
      </c>
      <c r="B416" s="34"/>
      <c r="C416" s="34"/>
      <c r="D416" s="70" t="s">
        <v>265</v>
      </c>
      <c r="E416" s="35" t="str">
        <f t="shared" si="16"/>
        <v>Band Target</v>
      </c>
      <c r="F416" s="34" t="s">
        <v>92</v>
      </c>
      <c r="G416" s="50" t="s">
        <v>101</v>
      </c>
    </row>
    <row r="417" spans="1:7" ht="12.75">
      <c r="A417" s="71" t="s">
        <v>269</v>
      </c>
      <c r="B417" s="34"/>
      <c r="C417" s="34"/>
      <c r="D417" s="70" t="s">
        <v>265</v>
      </c>
      <c r="E417" s="35" t="str">
        <f t="shared" si="16"/>
        <v>Band Target</v>
      </c>
      <c r="F417" s="34" t="s">
        <v>93</v>
      </c>
      <c r="G417" s="50" t="s">
        <v>101</v>
      </c>
    </row>
    <row r="418" spans="1:7" ht="12.75">
      <c r="A418" s="71" t="s">
        <v>269</v>
      </c>
      <c r="B418" s="34"/>
      <c r="C418" s="34"/>
      <c r="D418" s="70" t="s">
        <v>265</v>
      </c>
      <c r="E418" s="35" t="str">
        <f t="shared" si="16"/>
        <v>Band Target</v>
      </c>
      <c r="F418" s="34" t="s">
        <v>94</v>
      </c>
      <c r="G418" s="50" t="s">
        <v>101</v>
      </c>
    </row>
    <row r="419" spans="1:7" ht="12.75">
      <c r="A419" s="71" t="s">
        <v>269</v>
      </c>
      <c r="B419" s="34"/>
      <c r="C419" s="34"/>
      <c r="D419" s="70" t="s">
        <v>265</v>
      </c>
      <c r="E419" s="35" t="str">
        <f t="shared" si="16"/>
        <v>Band Target</v>
      </c>
      <c r="F419" s="34" t="s">
        <v>95</v>
      </c>
      <c r="G419" s="50" t="s">
        <v>101</v>
      </c>
    </row>
    <row r="420" spans="1:7" ht="12.75">
      <c r="A420" s="71" t="s">
        <v>269</v>
      </c>
      <c r="B420" s="57" t="s">
        <v>278</v>
      </c>
      <c r="C420" s="34"/>
      <c r="D420" s="70" t="s">
        <v>265</v>
      </c>
      <c r="E420" s="34" t="s">
        <v>96</v>
      </c>
      <c r="F420" s="34" t="s">
        <v>72</v>
      </c>
      <c r="G420" s="50" t="s">
        <v>101</v>
      </c>
    </row>
    <row r="421" spans="1:7" ht="12.75">
      <c r="A421" s="71" t="s">
        <v>269</v>
      </c>
      <c r="B421" s="57" t="s">
        <v>283</v>
      </c>
      <c r="C421" s="34"/>
      <c r="D421" s="70" t="s">
        <v>265</v>
      </c>
      <c r="E421" s="35" t="str">
        <f>E420</f>
        <v>Graphic EQ(Wallmount)</v>
      </c>
      <c r="F421" s="34" t="s">
        <v>73</v>
      </c>
      <c r="G421" s="50" t="s">
        <v>236</v>
      </c>
    </row>
    <row r="422" spans="1:7" ht="12.75">
      <c r="A422" s="71" t="s">
        <v>269</v>
      </c>
      <c r="B422" s="34"/>
      <c r="C422" s="34"/>
      <c r="D422" s="70" t="s">
        <v>265</v>
      </c>
      <c r="E422" s="35" t="s">
        <v>74</v>
      </c>
      <c r="F422" s="34" t="s">
        <v>18</v>
      </c>
      <c r="G422" s="50" t="s">
        <v>237</v>
      </c>
    </row>
    <row r="423" spans="1:7" ht="12.75">
      <c r="A423" s="71" t="s">
        <v>269</v>
      </c>
      <c r="B423" s="34"/>
      <c r="C423" s="34"/>
      <c r="D423" s="70" t="s">
        <v>265</v>
      </c>
      <c r="E423" s="35" t="str">
        <f t="shared" ref="E423:E441" si="17">E422</f>
        <v>Band Center</v>
      </c>
      <c r="F423" s="34" t="s">
        <v>19</v>
      </c>
      <c r="G423" s="50" t="s">
        <v>238</v>
      </c>
    </row>
    <row r="424" spans="1:7" ht="12.75">
      <c r="A424" s="71" t="s">
        <v>269</v>
      </c>
      <c r="B424" s="34"/>
      <c r="C424" s="34"/>
      <c r="D424" s="70" t="s">
        <v>265</v>
      </c>
      <c r="E424" s="35" t="str">
        <f t="shared" si="17"/>
        <v>Band Center</v>
      </c>
      <c r="F424" s="34" t="s">
        <v>20</v>
      </c>
      <c r="G424" s="50" t="s">
        <v>239</v>
      </c>
    </row>
    <row r="425" spans="1:7" ht="12.75">
      <c r="A425" s="71" t="s">
        <v>269</v>
      </c>
      <c r="B425" s="34"/>
      <c r="C425" s="34"/>
      <c r="D425" s="70" t="s">
        <v>265</v>
      </c>
      <c r="E425" s="35" t="str">
        <f t="shared" si="17"/>
        <v>Band Center</v>
      </c>
      <c r="F425" s="34" t="s">
        <v>21</v>
      </c>
      <c r="G425" s="50" t="s">
        <v>240</v>
      </c>
    </row>
    <row r="426" spans="1:7" ht="12.75">
      <c r="A426" s="71" t="s">
        <v>269</v>
      </c>
      <c r="B426" s="34"/>
      <c r="C426" s="34"/>
      <c r="D426" s="70" t="s">
        <v>265</v>
      </c>
      <c r="E426" s="35" t="str">
        <f t="shared" si="17"/>
        <v>Band Center</v>
      </c>
      <c r="F426" s="34" t="s">
        <v>22</v>
      </c>
      <c r="G426" s="50" t="s">
        <v>235</v>
      </c>
    </row>
    <row r="427" spans="1:7" ht="12.75">
      <c r="A427" s="71" t="s">
        <v>269</v>
      </c>
      <c r="B427" s="34"/>
      <c r="C427" s="34"/>
      <c r="D427" s="70" t="s">
        <v>265</v>
      </c>
      <c r="E427" s="35" t="str">
        <f t="shared" si="17"/>
        <v>Band Center</v>
      </c>
      <c r="F427" s="34" t="s">
        <v>23</v>
      </c>
      <c r="G427" s="50" t="s">
        <v>241</v>
      </c>
    </row>
    <row r="428" spans="1:7" ht="12.75">
      <c r="A428" s="71" t="s">
        <v>269</v>
      </c>
      <c r="B428" s="34"/>
      <c r="C428" s="34"/>
      <c r="D428" s="70" t="s">
        <v>265</v>
      </c>
      <c r="E428" s="35" t="str">
        <f t="shared" si="17"/>
        <v>Band Center</v>
      </c>
      <c r="F428" s="34" t="s">
        <v>24</v>
      </c>
      <c r="G428" s="50" t="s">
        <v>242</v>
      </c>
    </row>
    <row r="429" spans="1:7" ht="12.75">
      <c r="A429" s="71" t="s">
        <v>269</v>
      </c>
      <c r="B429" s="34"/>
      <c r="C429" s="34"/>
      <c r="D429" s="70" t="s">
        <v>265</v>
      </c>
      <c r="E429" s="35" t="str">
        <f t="shared" si="17"/>
        <v>Band Center</v>
      </c>
      <c r="F429" s="34" t="s">
        <v>25</v>
      </c>
      <c r="G429" s="50" t="s">
        <v>243</v>
      </c>
    </row>
    <row r="430" spans="1:7" ht="12.75">
      <c r="A430" s="71" t="s">
        <v>269</v>
      </c>
      <c r="B430" s="34"/>
      <c r="C430" s="34"/>
      <c r="D430" s="70" t="s">
        <v>265</v>
      </c>
      <c r="E430" s="35" t="str">
        <f t="shared" si="17"/>
        <v>Band Center</v>
      </c>
      <c r="F430" s="34" t="s">
        <v>26</v>
      </c>
      <c r="G430" s="50" t="s">
        <v>244</v>
      </c>
    </row>
    <row r="431" spans="1:7" ht="12.75">
      <c r="A431" s="71" t="s">
        <v>269</v>
      </c>
      <c r="B431" s="34"/>
      <c r="C431" s="34"/>
      <c r="D431" s="70" t="s">
        <v>265</v>
      </c>
      <c r="E431" s="35" t="str">
        <f t="shared" si="17"/>
        <v>Band Center</v>
      </c>
      <c r="F431" s="34" t="s">
        <v>27</v>
      </c>
      <c r="G431" s="50" t="s">
        <v>245</v>
      </c>
    </row>
    <row r="432" spans="1:7" ht="12.75">
      <c r="A432" s="71" t="s">
        <v>269</v>
      </c>
      <c r="B432" s="34"/>
      <c r="C432" s="34"/>
      <c r="D432" s="70" t="s">
        <v>265</v>
      </c>
      <c r="E432" s="35" t="str">
        <f t="shared" si="17"/>
        <v>Band Center</v>
      </c>
      <c r="F432" s="34" t="s">
        <v>28</v>
      </c>
      <c r="G432" s="50" t="s">
        <v>246</v>
      </c>
    </row>
    <row r="433" spans="1:7" ht="12.75">
      <c r="A433" s="71" t="s">
        <v>269</v>
      </c>
      <c r="B433" s="34"/>
      <c r="C433" s="34"/>
      <c r="D433" s="70" t="s">
        <v>265</v>
      </c>
      <c r="E433" s="35" t="str">
        <f t="shared" si="17"/>
        <v>Band Center</v>
      </c>
      <c r="F433" s="34" t="s">
        <v>29</v>
      </c>
      <c r="G433" s="50" t="s">
        <v>223</v>
      </c>
    </row>
    <row r="434" spans="1:7" ht="12.75">
      <c r="A434" s="71" t="s">
        <v>269</v>
      </c>
      <c r="B434" s="34"/>
      <c r="C434" s="34"/>
      <c r="D434" s="70" t="s">
        <v>265</v>
      </c>
      <c r="E434" s="35" t="str">
        <f t="shared" si="17"/>
        <v>Band Center</v>
      </c>
      <c r="F434" s="34" t="s">
        <v>30</v>
      </c>
      <c r="G434" s="50" t="s">
        <v>247</v>
      </c>
    </row>
    <row r="435" spans="1:7" ht="12.75">
      <c r="A435" s="71" t="s">
        <v>269</v>
      </c>
      <c r="B435" s="34"/>
      <c r="C435" s="34"/>
      <c r="D435" s="70" t="s">
        <v>265</v>
      </c>
      <c r="E435" s="35" t="str">
        <f t="shared" si="17"/>
        <v>Band Center</v>
      </c>
      <c r="F435" s="34" t="s">
        <v>31</v>
      </c>
      <c r="G435" s="50" t="s">
        <v>248</v>
      </c>
    </row>
    <row r="436" spans="1:7" ht="12.75">
      <c r="A436" s="71" t="s">
        <v>269</v>
      </c>
      <c r="B436" s="34"/>
      <c r="C436" s="34"/>
      <c r="D436" s="70" t="s">
        <v>265</v>
      </c>
      <c r="E436" s="35" t="str">
        <f t="shared" si="17"/>
        <v>Band Center</v>
      </c>
      <c r="F436" s="34" t="s">
        <v>32</v>
      </c>
      <c r="G436" s="50" t="s">
        <v>249</v>
      </c>
    </row>
    <row r="437" spans="1:7" ht="12.75">
      <c r="A437" s="71" t="s">
        <v>269</v>
      </c>
      <c r="B437" s="34"/>
      <c r="C437" s="34"/>
      <c r="D437" s="70" t="s">
        <v>265</v>
      </c>
      <c r="E437" s="35" t="str">
        <f t="shared" si="17"/>
        <v>Band Center</v>
      </c>
      <c r="F437" s="34" t="s">
        <v>33</v>
      </c>
      <c r="G437" s="50" t="s">
        <v>250</v>
      </c>
    </row>
    <row r="438" spans="1:7" ht="12.75">
      <c r="A438" s="71" t="s">
        <v>269</v>
      </c>
      <c r="B438" s="34"/>
      <c r="C438" s="34"/>
      <c r="D438" s="70" t="s">
        <v>265</v>
      </c>
      <c r="E438" s="35" t="str">
        <f t="shared" si="17"/>
        <v>Band Center</v>
      </c>
      <c r="F438" s="34" t="s">
        <v>34</v>
      </c>
      <c r="G438" s="50" t="s">
        <v>251</v>
      </c>
    </row>
    <row r="439" spans="1:7" ht="12.75">
      <c r="A439" s="71" t="s">
        <v>269</v>
      </c>
      <c r="B439" s="34"/>
      <c r="C439" s="34"/>
      <c r="D439" s="70" t="s">
        <v>265</v>
      </c>
      <c r="E439" s="35" t="str">
        <f t="shared" si="17"/>
        <v>Band Center</v>
      </c>
      <c r="F439" s="34" t="s">
        <v>35</v>
      </c>
      <c r="G439" s="50" t="s">
        <v>252</v>
      </c>
    </row>
    <row r="440" spans="1:7" ht="12.75">
      <c r="A440" s="71" t="s">
        <v>269</v>
      </c>
      <c r="B440" s="34"/>
      <c r="C440" s="34"/>
      <c r="D440" s="70" t="s">
        <v>265</v>
      </c>
      <c r="E440" s="35" t="str">
        <f t="shared" si="17"/>
        <v>Band Center</v>
      </c>
      <c r="F440" s="34" t="s">
        <v>36</v>
      </c>
      <c r="G440" s="50" t="s">
        <v>253</v>
      </c>
    </row>
    <row r="441" spans="1:7" ht="12.75">
      <c r="A441" s="71" t="s">
        <v>269</v>
      </c>
      <c r="B441" s="34"/>
      <c r="C441" s="34"/>
      <c r="D441" s="70" t="s">
        <v>265</v>
      </c>
      <c r="E441" s="35" t="str">
        <f t="shared" si="17"/>
        <v>Band Center</v>
      </c>
      <c r="F441" s="34" t="s">
        <v>37</v>
      </c>
      <c r="G441" s="50" t="s">
        <v>254</v>
      </c>
    </row>
    <row r="442" spans="1:7" ht="12.75">
      <c r="A442" s="71" t="s">
        <v>269</v>
      </c>
      <c r="B442" s="34"/>
      <c r="C442" s="34"/>
      <c r="D442" s="70" t="s">
        <v>265</v>
      </c>
      <c r="E442" s="35" t="s">
        <v>75</v>
      </c>
      <c r="F442" s="34" t="s">
        <v>76</v>
      </c>
      <c r="G442" s="50" t="s">
        <v>101</v>
      </c>
    </row>
    <row r="443" spans="1:7" ht="12.75">
      <c r="A443" s="71" t="s">
        <v>269</v>
      </c>
      <c r="B443" s="34"/>
      <c r="C443" s="34"/>
      <c r="D443" s="70" t="s">
        <v>265</v>
      </c>
      <c r="E443" s="35" t="str">
        <f t="shared" ref="E443:E461" si="18">E442</f>
        <v>Band Target</v>
      </c>
      <c r="F443" s="34" t="s">
        <v>77</v>
      </c>
      <c r="G443" s="50" t="s">
        <v>101</v>
      </c>
    </row>
    <row r="444" spans="1:7" ht="12.75">
      <c r="A444" s="71" t="s">
        <v>269</v>
      </c>
      <c r="B444" s="34"/>
      <c r="C444" s="34"/>
      <c r="D444" s="70" t="s">
        <v>265</v>
      </c>
      <c r="E444" s="35" t="str">
        <f t="shared" si="18"/>
        <v>Band Target</v>
      </c>
      <c r="F444" s="34" t="s">
        <v>78</v>
      </c>
      <c r="G444" s="50" t="s">
        <v>101</v>
      </c>
    </row>
    <row r="445" spans="1:7" ht="12.75">
      <c r="A445" s="71" t="s">
        <v>269</v>
      </c>
      <c r="B445" s="34"/>
      <c r="C445" s="34"/>
      <c r="D445" s="70" t="s">
        <v>265</v>
      </c>
      <c r="E445" s="35" t="str">
        <f t="shared" si="18"/>
        <v>Band Target</v>
      </c>
      <c r="F445" s="34" t="s">
        <v>79</v>
      </c>
      <c r="G445" s="50" t="s">
        <v>101</v>
      </c>
    </row>
    <row r="446" spans="1:7" ht="12.75">
      <c r="A446" s="71" t="s">
        <v>269</v>
      </c>
      <c r="B446" s="34"/>
      <c r="C446" s="34"/>
      <c r="D446" s="70" t="s">
        <v>265</v>
      </c>
      <c r="E446" s="35" t="str">
        <f t="shared" si="18"/>
        <v>Band Target</v>
      </c>
      <c r="F446" s="34" t="s">
        <v>80</v>
      </c>
      <c r="G446" s="50" t="s">
        <v>101</v>
      </c>
    </row>
    <row r="447" spans="1:7" ht="12.75">
      <c r="A447" s="71" t="s">
        <v>269</v>
      </c>
      <c r="B447" s="34"/>
      <c r="C447" s="34"/>
      <c r="D447" s="70" t="s">
        <v>265</v>
      </c>
      <c r="E447" s="35" t="str">
        <f t="shared" si="18"/>
        <v>Band Target</v>
      </c>
      <c r="F447" s="34" t="s">
        <v>81</v>
      </c>
      <c r="G447" s="50" t="s">
        <v>101</v>
      </c>
    </row>
    <row r="448" spans="1:7" ht="12.75">
      <c r="A448" s="71" t="s">
        <v>269</v>
      </c>
      <c r="B448" s="34"/>
      <c r="C448" s="34"/>
      <c r="D448" s="70" t="s">
        <v>265</v>
      </c>
      <c r="E448" s="35" t="str">
        <f t="shared" si="18"/>
        <v>Band Target</v>
      </c>
      <c r="F448" s="34" t="s">
        <v>82</v>
      </c>
      <c r="G448" s="50" t="s">
        <v>101</v>
      </c>
    </row>
    <row r="449" spans="1:7" ht="12.75">
      <c r="A449" s="71" t="s">
        <v>269</v>
      </c>
      <c r="B449" s="34"/>
      <c r="C449" s="34"/>
      <c r="D449" s="70" t="s">
        <v>265</v>
      </c>
      <c r="E449" s="35" t="str">
        <f t="shared" si="18"/>
        <v>Band Target</v>
      </c>
      <c r="F449" s="34" t="s">
        <v>83</v>
      </c>
      <c r="G449" s="50" t="s">
        <v>101</v>
      </c>
    </row>
    <row r="450" spans="1:7" ht="12.75">
      <c r="A450" s="71" t="s">
        <v>269</v>
      </c>
      <c r="B450" s="34"/>
      <c r="C450" s="34"/>
      <c r="D450" s="70" t="s">
        <v>265</v>
      </c>
      <c r="E450" s="35" t="str">
        <f t="shared" si="18"/>
        <v>Band Target</v>
      </c>
      <c r="F450" s="34" t="s">
        <v>84</v>
      </c>
      <c r="G450" s="50" t="s">
        <v>101</v>
      </c>
    </row>
    <row r="451" spans="1:7" ht="12.75">
      <c r="A451" s="71" t="s">
        <v>269</v>
      </c>
      <c r="B451" s="34"/>
      <c r="C451" s="34"/>
      <c r="D451" s="70" t="s">
        <v>265</v>
      </c>
      <c r="E451" s="35" t="str">
        <f t="shared" si="18"/>
        <v>Band Target</v>
      </c>
      <c r="F451" s="34" t="s">
        <v>85</v>
      </c>
      <c r="G451" s="50" t="s">
        <v>101</v>
      </c>
    </row>
    <row r="452" spans="1:7" ht="12.75">
      <c r="A452" s="71" t="s">
        <v>269</v>
      </c>
      <c r="B452" s="34"/>
      <c r="C452" s="34"/>
      <c r="D452" s="70" t="s">
        <v>265</v>
      </c>
      <c r="E452" s="35" t="str">
        <f t="shared" si="18"/>
        <v>Band Target</v>
      </c>
      <c r="F452" s="34" t="s">
        <v>86</v>
      </c>
      <c r="G452" s="50" t="s">
        <v>101</v>
      </c>
    </row>
    <row r="453" spans="1:7" ht="12.75">
      <c r="A453" s="71" t="s">
        <v>269</v>
      </c>
      <c r="B453" s="34"/>
      <c r="C453" s="34"/>
      <c r="D453" s="70" t="s">
        <v>265</v>
      </c>
      <c r="E453" s="35" t="str">
        <f t="shared" si="18"/>
        <v>Band Target</v>
      </c>
      <c r="F453" s="34" t="s">
        <v>87</v>
      </c>
      <c r="G453" s="50" t="s">
        <v>101</v>
      </c>
    </row>
    <row r="454" spans="1:7" ht="12.75">
      <c r="A454" s="71" t="s">
        <v>269</v>
      </c>
      <c r="B454" s="34"/>
      <c r="C454" s="34"/>
      <c r="D454" s="70" t="s">
        <v>265</v>
      </c>
      <c r="E454" s="35" t="str">
        <f t="shared" si="18"/>
        <v>Band Target</v>
      </c>
      <c r="F454" s="34" t="s">
        <v>88</v>
      </c>
      <c r="G454" s="50" t="s">
        <v>101</v>
      </c>
    </row>
    <row r="455" spans="1:7" ht="12.75">
      <c r="A455" s="71" t="s">
        <v>269</v>
      </c>
      <c r="B455" s="34"/>
      <c r="C455" s="34"/>
      <c r="D455" s="70" t="s">
        <v>265</v>
      </c>
      <c r="E455" s="35" t="str">
        <f t="shared" si="18"/>
        <v>Band Target</v>
      </c>
      <c r="F455" s="34" t="s">
        <v>89</v>
      </c>
      <c r="G455" s="50" t="s">
        <v>101</v>
      </c>
    </row>
    <row r="456" spans="1:7" ht="12.75">
      <c r="A456" s="71" t="s">
        <v>269</v>
      </c>
      <c r="B456" s="34"/>
      <c r="C456" s="34"/>
      <c r="D456" s="70" t="s">
        <v>265</v>
      </c>
      <c r="E456" s="35" t="str">
        <f t="shared" si="18"/>
        <v>Band Target</v>
      </c>
      <c r="F456" s="34" t="s">
        <v>90</v>
      </c>
      <c r="G456" s="50" t="s">
        <v>101</v>
      </c>
    </row>
    <row r="457" spans="1:7" ht="12.75">
      <c r="A457" s="71" t="s">
        <v>269</v>
      </c>
      <c r="B457" s="34"/>
      <c r="C457" s="34"/>
      <c r="D457" s="70" t="s">
        <v>265</v>
      </c>
      <c r="E457" s="35" t="str">
        <f t="shared" si="18"/>
        <v>Band Target</v>
      </c>
      <c r="F457" s="34" t="s">
        <v>91</v>
      </c>
      <c r="G457" s="50" t="s">
        <v>101</v>
      </c>
    </row>
    <row r="458" spans="1:7" ht="12.75">
      <c r="A458" s="71" t="s">
        <v>269</v>
      </c>
      <c r="B458" s="34"/>
      <c r="C458" s="34"/>
      <c r="D458" s="70" t="s">
        <v>265</v>
      </c>
      <c r="E458" s="35" t="str">
        <f t="shared" si="18"/>
        <v>Band Target</v>
      </c>
      <c r="F458" s="34" t="s">
        <v>92</v>
      </c>
      <c r="G458" s="50" t="s">
        <v>101</v>
      </c>
    </row>
    <row r="459" spans="1:7" ht="12.75">
      <c r="A459" s="71" t="s">
        <v>269</v>
      </c>
      <c r="B459" s="34"/>
      <c r="C459" s="34"/>
      <c r="D459" s="70" t="s">
        <v>265</v>
      </c>
      <c r="E459" s="35" t="str">
        <f t="shared" si="18"/>
        <v>Band Target</v>
      </c>
      <c r="F459" s="34" t="s">
        <v>93</v>
      </c>
      <c r="G459" s="50" t="s">
        <v>101</v>
      </c>
    </row>
    <row r="460" spans="1:7" ht="12.75">
      <c r="A460" s="71" t="s">
        <v>269</v>
      </c>
      <c r="B460" s="34"/>
      <c r="C460" s="34"/>
      <c r="D460" s="70" t="s">
        <v>265</v>
      </c>
      <c r="E460" s="35" t="str">
        <f t="shared" si="18"/>
        <v>Band Target</v>
      </c>
      <c r="F460" s="34" t="s">
        <v>94</v>
      </c>
      <c r="G460" s="50" t="s">
        <v>101</v>
      </c>
    </row>
    <row r="461" spans="1:7" ht="12.75">
      <c r="A461" s="71" t="s">
        <v>269</v>
      </c>
      <c r="B461" s="34"/>
      <c r="C461" s="34"/>
      <c r="D461" s="70" t="s">
        <v>265</v>
      </c>
      <c r="E461" s="35" t="str">
        <f t="shared" si="18"/>
        <v>Band Target</v>
      </c>
      <c r="F461" s="34" t="s">
        <v>95</v>
      </c>
      <c r="G461" s="50" t="s">
        <v>101</v>
      </c>
    </row>
    <row r="462" spans="1:7" ht="12.75">
      <c r="A462" s="71" t="s">
        <v>269</v>
      </c>
      <c r="B462" s="57" t="s">
        <v>280</v>
      </c>
      <c r="C462" s="34"/>
      <c r="D462" s="70" t="s">
        <v>265</v>
      </c>
      <c r="E462" s="35" t="s">
        <v>97</v>
      </c>
      <c r="F462" s="34" t="s">
        <v>98</v>
      </c>
      <c r="G462" s="50" t="s">
        <v>101</v>
      </c>
    </row>
    <row r="463" spans="1:7" ht="12.75">
      <c r="A463" s="71" t="s">
        <v>269</v>
      </c>
      <c r="B463" s="53" t="s">
        <v>282</v>
      </c>
      <c r="C463" s="34"/>
      <c r="D463" s="70" t="s">
        <v>265</v>
      </c>
      <c r="E463" s="35" t="str">
        <f>E462</f>
        <v>Intelligent EQ</v>
      </c>
      <c r="F463" s="34" t="s">
        <v>38</v>
      </c>
      <c r="G463" s="50" t="s">
        <v>236</v>
      </c>
    </row>
    <row r="464" spans="1:7" ht="13.5">
      <c r="A464" s="71" t="s">
        <v>269</v>
      </c>
      <c r="B464" s="77" t="s">
        <v>281</v>
      </c>
      <c r="C464" s="34"/>
      <c r="D464" s="70" t="s">
        <v>265</v>
      </c>
      <c r="E464" s="35" t="str">
        <f>E463</f>
        <v>Intelligent EQ</v>
      </c>
      <c r="F464" s="34" t="s">
        <v>39</v>
      </c>
      <c r="G464" s="50" t="s">
        <v>101</v>
      </c>
    </row>
    <row r="465" spans="1:7" ht="12.75">
      <c r="A465" s="71" t="s">
        <v>269</v>
      </c>
      <c r="B465" s="34"/>
      <c r="C465" s="34"/>
      <c r="D465" s="70" t="s">
        <v>265</v>
      </c>
      <c r="E465" s="35" t="s">
        <v>74</v>
      </c>
      <c r="F465" s="34" t="s">
        <v>18</v>
      </c>
      <c r="G465" s="50" t="s">
        <v>237</v>
      </c>
    </row>
    <row r="466" spans="1:7" ht="12.75">
      <c r="A466" s="71" t="s">
        <v>269</v>
      </c>
      <c r="B466" s="34"/>
      <c r="C466" s="34"/>
      <c r="D466" s="70" t="s">
        <v>265</v>
      </c>
      <c r="E466" s="35" t="str">
        <f t="shared" ref="E466:E484" si="19">E465</f>
        <v>Band Center</v>
      </c>
      <c r="F466" s="34" t="s">
        <v>19</v>
      </c>
      <c r="G466" s="50" t="s">
        <v>238</v>
      </c>
    </row>
    <row r="467" spans="1:7" ht="12.75">
      <c r="A467" s="71" t="s">
        <v>269</v>
      </c>
      <c r="B467" s="34"/>
      <c r="C467" s="34"/>
      <c r="D467" s="70" t="s">
        <v>265</v>
      </c>
      <c r="E467" s="35" t="str">
        <f t="shared" si="19"/>
        <v>Band Center</v>
      </c>
      <c r="F467" s="34" t="s">
        <v>20</v>
      </c>
      <c r="G467" s="50" t="s">
        <v>239</v>
      </c>
    </row>
    <row r="468" spans="1:7" ht="12.75">
      <c r="A468" s="71" t="s">
        <v>269</v>
      </c>
      <c r="B468" s="34"/>
      <c r="C468" s="34"/>
      <c r="D468" s="70" t="s">
        <v>265</v>
      </c>
      <c r="E468" s="35" t="str">
        <f t="shared" si="19"/>
        <v>Band Center</v>
      </c>
      <c r="F468" s="34" t="s">
        <v>21</v>
      </c>
      <c r="G468" s="50" t="s">
        <v>240</v>
      </c>
    </row>
    <row r="469" spans="1:7" ht="12.75">
      <c r="A469" s="71" t="s">
        <v>269</v>
      </c>
      <c r="B469" s="34"/>
      <c r="C469" s="34"/>
      <c r="D469" s="70" t="s">
        <v>265</v>
      </c>
      <c r="E469" s="35" t="str">
        <f t="shared" si="19"/>
        <v>Band Center</v>
      </c>
      <c r="F469" s="34" t="s">
        <v>22</v>
      </c>
      <c r="G469" s="50" t="s">
        <v>235</v>
      </c>
    </row>
    <row r="470" spans="1:7" ht="12.75">
      <c r="A470" s="71" t="s">
        <v>269</v>
      </c>
      <c r="B470" s="34"/>
      <c r="C470" s="34"/>
      <c r="D470" s="70" t="s">
        <v>265</v>
      </c>
      <c r="E470" s="35" t="str">
        <f t="shared" si="19"/>
        <v>Band Center</v>
      </c>
      <c r="F470" s="34" t="s">
        <v>23</v>
      </c>
      <c r="G470" s="50" t="s">
        <v>241</v>
      </c>
    </row>
    <row r="471" spans="1:7" ht="12.75">
      <c r="A471" s="71" t="s">
        <v>269</v>
      </c>
      <c r="B471" s="34"/>
      <c r="C471" s="34"/>
      <c r="D471" s="70" t="s">
        <v>265</v>
      </c>
      <c r="E471" s="35" t="str">
        <f t="shared" si="19"/>
        <v>Band Center</v>
      </c>
      <c r="F471" s="34" t="s">
        <v>24</v>
      </c>
      <c r="G471" s="50" t="s">
        <v>242</v>
      </c>
    </row>
    <row r="472" spans="1:7" ht="12.75">
      <c r="A472" s="71" t="s">
        <v>269</v>
      </c>
      <c r="B472" s="34"/>
      <c r="C472" s="34"/>
      <c r="D472" s="70" t="s">
        <v>265</v>
      </c>
      <c r="E472" s="35" t="str">
        <f t="shared" si="19"/>
        <v>Band Center</v>
      </c>
      <c r="F472" s="34" t="s">
        <v>25</v>
      </c>
      <c r="G472" s="50" t="s">
        <v>243</v>
      </c>
    </row>
    <row r="473" spans="1:7" ht="12.75">
      <c r="A473" s="71" t="s">
        <v>269</v>
      </c>
      <c r="B473" s="34"/>
      <c r="C473" s="34"/>
      <c r="D473" s="70" t="s">
        <v>265</v>
      </c>
      <c r="E473" s="35" t="str">
        <f t="shared" si="19"/>
        <v>Band Center</v>
      </c>
      <c r="F473" s="34" t="s">
        <v>26</v>
      </c>
      <c r="G473" s="50" t="s">
        <v>244</v>
      </c>
    </row>
    <row r="474" spans="1:7" ht="12.75">
      <c r="A474" s="71" t="s">
        <v>269</v>
      </c>
      <c r="B474" s="34"/>
      <c r="C474" s="34"/>
      <c r="D474" s="70" t="s">
        <v>265</v>
      </c>
      <c r="E474" s="35" t="str">
        <f t="shared" si="19"/>
        <v>Band Center</v>
      </c>
      <c r="F474" s="34" t="s">
        <v>27</v>
      </c>
      <c r="G474" s="50" t="s">
        <v>245</v>
      </c>
    </row>
    <row r="475" spans="1:7" ht="12.75">
      <c r="A475" s="71" t="s">
        <v>269</v>
      </c>
      <c r="B475" s="34"/>
      <c r="C475" s="34"/>
      <c r="D475" s="70" t="s">
        <v>265</v>
      </c>
      <c r="E475" s="35" t="str">
        <f t="shared" si="19"/>
        <v>Band Center</v>
      </c>
      <c r="F475" s="34" t="s">
        <v>28</v>
      </c>
      <c r="G475" s="50" t="s">
        <v>246</v>
      </c>
    </row>
    <row r="476" spans="1:7" ht="12.75">
      <c r="A476" s="71" t="s">
        <v>269</v>
      </c>
      <c r="B476" s="34"/>
      <c r="C476" s="34"/>
      <c r="D476" s="70" t="s">
        <v>265</v>
      </c>
      <c r="E476" s="35" t="str">
        <f t="shared" si="19"/>
        <v>Band Center</v>
      </c>
      <c r="F476" s="34" t="s">
        <v>29</v>
      </c>
      <c r="G476" s="50" t="s">
        <v>223</v>
      </c>
    </row>
    <row r="477" spans="1:7" ht="12.75">
      <c r="A477" s="71" t="s">
        <v>269</v>
      </c>
      <c r="B477" s="34"/>
      <c r="C477" s="34"/>
      <c r="D477" s="70" t="s">
        <v>265</v>
      </c>
      <c r="E477" s="35" t="str">
        <f t="shared" si="19"/>
        <v>Band Center</v>
      </c>
      <c r="F477" s="34" t="s">
        <v>30</v>
      </c>
      <c r="G477" s="50" t="s">
        <v>247</v>
      </c>
    </row>
    <row r="478" spans="1:7" ht="12.75">
      <c r="A478" s="71" t="s">
        <v>269</v>
      </c>
      <c r="B478" s="34"/>
      <c r="C478" s="34"/>
      <c r="D478" s="70" t="s">
        <v>265</v>
      </c>
      <c r="E478" s="35" t="str">
        <f t="shared" si="19"/>
        <v>Band Center</v>
      </c>
      <c r="F478" s="34" t="s">
        <v>31</v>
      </c>
      <c r="G478" s="50" t="s">
        <v>248</v>
      </c>
    </row>
    <row r="479" spans="1:7" ht="12.75">
      <c r="A479" s="71" t="s">
        <v>269</v>
      </c>
      <c r="B479" s="34"/>
      <c r="C479" s="34"/>
      <c r="D479" s="70" t="s">
        <v>265</v>
      </c>
      <c r="E479" s="35" t="str">
        <f t="shared" si="19"/>
        <v>Band Center</v>
      </c>
      <c r="F479" s="34" t="s">
        <v>32</v>
      </c>
      <c r="G479" s="50" t="s">
        <v>249</v>
      </c>
    </row>
    <row r="480" spans="1:7" ht="12.75">
      <c r="A480" s="71" t="s">
        <v>269</v>
      </c>
      <c r="B480" s="34"/>
      <c r="C480" s="34"/>
      <c r="D480" s="70" t="s">
        <v>265</v>
      </c>
      <c r="E480" s="35" t="str">
        <f t="shared" si="19"/>
        <v>Band Center</v>
      </c>
      <c r="F480" s="34" t="s">
        <v>33</v>
      </c>
      <c r="G480" s="50" t="s">
        <v>250</v>
      </c>
    </row>
    <row r="481" spans="1:7" ht="12.75">
      <c r="A481" s="71" t="s">
        <v>269</v>
      </c>
      <c r="B481" s="34"/>
      <c r="C481" s="34"/>
      <c r="D481" s="70" t="s">
        <v>265</v>
      </c>
      <c r="E481" s="35" t="str">
        <f t="shared" si="19"/>
        <v>Band Center</v>
      </c>
      <c r="F481" s="34" t="s">
        <v>34</v>
      </c>
      <c r="G481" s="50" t="s">
        <v>251</v>
      </c>
    </row>
    <row r="482" spans="1:7" ht="12.75">
      <c r="A482" s="71" t="s">
        <v>269</v>
      </c>
      <c r="B482" s="34"/>
      <c r="C482" s="34"/>
      <c r="D482" s="70" t="s">
        <v>265</v>
      </c>
      <c r="E482" s="35" t="str">
        <f t="shared" si="19"/>
        <v>Band Center</v>
      </c>
      <c r="F482" s="34" t="s">
        <v>35</v>
      </c>
      <c r="G482" s="50" t="s">
        <v>252</v>
      </c>
    </row>
    <row r="483" spans="1:7" ht="12.75">
      <c r="A483" s="71" t="s">
        <v>269</v>
      </c>
      <c r="B483" s="34"/>
      <c r="C483" s="34"/>
      <c r="D483" s="70" t="s">
        <v>265</v>
      </c>
      <c r="E483" s="35" t="str">
        <f t="shared" si="19"/>
        <v>Band Center</v>
      </c>
      <c r="F483" s="34" t="s">
        <v>36</v>
      </c>
      <c r="G483" s="50" t="s">
        <v>253</v>
      </c>
    </row>
    <row r="484" spans="1:7" ht="12.75">
      <c r="A484" s="71" t="s">
        <v>269</v>
      </c>
      <c r="B484" s="34"/>
      <c r="C484" s="34"/>
      <c r="D484" s="70" t="s">
        <v>265</v>
      </c>
      <c r="E484" s="35" t="str">
        <f t="shared" si="19"/>
        <v>Band Center</v>
      </c>
      <c r="F484" s="34" t="s">
        <v>37</v>
      </c>
      <c r="G484" s="50" t="s">
        <v>254</v>
      </c>
    </row>
    <row r="485" spans="1:7" ht="12.75">
      <c r="A485" s="71" t="s">
        <v>269</v>
      </c>
      <c r="B485" s="34"/>
      <c r="C485" s="34"/>
      <c r="D485" s="70" t="s">
        <v>265</v>
      </c>
      <c r="E485" s="35" t="s">
        <v>99</v>
      </c>
      <c r="F485" s="34" t="s">
        <v>76</v>
      </c>
      <c r="G485" s="50" t="s">
        <v>255</v>
      </c>
    </row>
    <row r="486" spans="1:7" ht="12.75">
      <c r="A486" s="71" t="s">
        <v>269</v>
      </c>
      <c r="B486" s="34"/>
      <c r="C486" s="34"/>
      <c r="D486" s="70" t="s">
        <v>265</v>
      </c>
      <c r="E486" s="35" t="str">
        <f t="shared" ref="E486:E504" si="20">E485</f>
        <v xml:space="preserve">Band Target </v>
      </c>
      <c r="F486" s="34" t="s">
        <v>77</v>
      </c>
      <c r="G486" s="50" t="s">
        <v>255</v>
      </c>
    </row>
    <row r="487" spans="1:7" ht="12.75">
      <c r="A487" s="71" t="s">
        <v>269</v>
      </c>
      <c r="B487" s="34"/>
      <c r="C487" s="34"/>
      <c r="D487" s="70" t="s">
        <v>265</v>
      </c>
      <c r="E487" s="35" t="str">
        <f t="shared" si="20"/>
        <v xml:space="preserve">Band Target </v>
      </c>
      <c r="F487" s="34" t="s">
        <v>78</v>
      </c>
      <c r="G487" s="50" t="s">
        <v>255</v>
      </c>
    </row>
    <row r="488" spans="1:7" ht="12.75">
      <c r="A488" s="71" t="s">
        <v>269</v>
      </c>
      <c r="B488" s="34"/>
      <c r="C488" s="34"/>
      <c r="D488" s="70" t="s">
        <v>265</v>
      </c>
      <c r="E488" s="35" t="str">
        <f t="shared" si="20"/>
        <v xml:space="preserve">Band Target </v>
      </c>
      <c r="F488" s="34" t="s">
        <v>79</v>
      </c>
      <c r="G488" s="50" t="s">
        <v>255</v>
      </c>
    </row>
    <row r="489" spans="1:7" ht="12.75">
      <c r="A489" s="71" t="s">
        <v>269</v>
      </c>
      <c r="B489" s="34"/>
      <c r="C489" s="34"/>
      <c r="D489" s="70" t="s">
        <v>265</v>
      </c>
      <c r="E489" s="35" t="str">
        <f t="shared" si="20"/>
        <v xml:space="preserve">Band Target </v>
      </c>
      <c r="F489" s="34" t="s">
        <v>80</v>
      </c>
      <c r="G489" s="50" t="s">
        <v>256</v>
      </c>
    </row>
    <row r="490" spans="1:7" ht="12.75">
      <c r="A490" s="71" t="s">
        <v>269</v>
      </c>
      <c r="B490" s="34"/>
      <c r="C490" s="34"/>
      <c r="D490" s="70" t="s">
        <v>265</v>
      </c>
      <c r="E490" s="35" t="str">
        <f t="shared" si="20"/>
        <v xml:space="preserve">Band Target </v>
      </c>
      <c r="F490" s="34" t="s">
        <v>81</v>
      </c>
      <c r="G490" s="50" t="s">
        <v>227</v>
      </c>
    </row>
    <row r="491" spans="1:7" ht="12.75">
      <c r="A491" s="71" t="s">
        <v>269</v>
      </c>
      <c r="B491" s="34"/>
      <c r="C491" s="34"/>
      <c r="D491" s="70" t="s">
        <v>265</v>
      </c>
      <c r="E491" s="35" t="str">
        <f t="shared" si="20"/>
        <v xml:space="preserve">Band Target </v>
      </c>
      <c r="F491" s="34" t="s">
        <v>82</v>
      </c>
      <c r="G491" s="50" t="s">
        <v>227</v>
      </c>
    </row>
    <row r="492" spans="1:7" ht="12.75">
      <c r="A492" s="71" t="s">
        <v>269</v>
      </c>
      <c r="B492" s="34"/>
      <c r="C492" s="34"/>
      <c r="D492" s="70" t="s">
        <v>265</v>
      </c>
      <c r="E492" s="35" t="str">
        <f t="shared" si="20"/>
        <v xml:space="preserve">Band Target </v>
      </c>
      <c r="F492" s="34" t="s">
        <v>83</v>
      </c>
      <c r="G492" s="50" t="s">
        <v>257</v>
      </c>
    </row>
    <row r="493" spans="1:7" ht="12.75">
      <c r="A493" s="71" t="s">
        <v>269</v>
      </c>
      <c r="B493" s="34"/>
      <c r="C493" s="34"/>
      <c r="D493" s="70" t="s">
        <v>265</v>
      </c>
      <c r="E493" s="35" t="str">
        <f t="shared" si="20"/>
        <v xml:space="preserve">Band Target </v>
      </c>
      <c r="F493" s="34" t="s">
        <v>84</v>
      </c>
      <c r="G493" s="50" t="s">
        <v>258</v>
      </c>
    </row>
    <row r="494" spans="1:7" ht="12.75">
      <c r="A494" s="71" t="s">
        <v>269</v>
      </c>
      <c r="B494" s="34"/>
      <c r="C494" s="34"/>
      <c r="D494" s="70" t="s">
        <v>265</v>
      </c>
      <c r="E494" s="35" t="str">
        <f t="shared" si="20"/>
        <v xml:space="preserve">Band Target </v>
      </c>
      <c r="F494" s="34" t="s">
        <v>85</v>
      </c>
      <c r="G494" s="50" t="s">
        <v>259</v>
      </c>
    </row>
    <row r="495" spans="1:7" ht="12.75">
      <c r="A495" s="71" t="s">
        <v>269</v>
      </c>
      <c r="B495" s="34"/>
      <c r="C495" s="34"/>
      <c r="D495" s="70" t="s">
        <v>265</v>
      </c>
      <c r="E495" s="35" t="str">
        <f t="shared" si="20"/>
        <v xml:space="preserve">Band Target </v>
      </c>
      <c r="F495" s="34" t="s">
        <v>86</v>
      </c>
      <c r="G495" s="50" t="s">
        <v>257</v>
      </c>
    </row>
    <row r="496" spans="1:7" ht="12.75">
      <c r="A496" s="71" t="s">
        <v>269</v>
      </c>
      <c r="B496" s="34"/>
      <c r="C496" s="34"/>
      <c r="D496" s="70" t="s">
        <v>265</v>
      </c>
      <c r="E496" s="35" t="str">
        <f t="shared" si="20"/>
        <v xml:space="preserve">Band Target </v>
      </c>
      <c r="F496" s="34" t="s">
        <v>87</v>
      </c>
      <c r="G496" s="50" t="s">
        <v>257</v>
      </c>
    </row>
    <row r="497" spans="1:7" ht="12.75">
      <c r="A497" s="71" t="s">
        <v>269</v>
      </c>
      <c r="B497" s="34"/>
      <c r="C497" s="34"/>
      <c r="D497" s="70" t="s">
        <v>265</v>
      </c>
      <c r="E497" s="35" t="str">
        <f t="shared" si="20"/>
        <v xml:space="preserve">Band Target </v>
      </c>
      <c r="F497" s="34" t="s">
        <v>88</v>
      </c>
      <c r="G497" s="50" t="s">
        <v>256</v>
      </c>
    </row>
    <row r="498" spans="1:7" ht="12.75">
      <c r="A498" s="71" t="s">
        <v>269</v>
      </c>
      <c r="B498" s="34"/>
      <c r="C498" s="34"/>
      <c r="D498" s="70" t="s">
        <v>265</v>
      </c>
      <c r="E498" s="35" t="str">
        <f t="shared" si="20"/>
        <v xml:space="preserve">Band Target </v>
      </c>
      <c r="F498" s="34" t="s">
        <v>89</v>
      </c>
      <c r="G498" s="50" t="s">
        <v>260</v>
      </c>
    </row>
    <row r="499" spans="1:7" ht="12.75">
      <c r="A499" s="71" t="s">
        <v>269</v>
      </c>
      <c r="B499" s="34"/>
      <c r="C499" s="34"/>
      <c r="D499" s="70" t="s">
        <v>265</v>
      </c>
      <c r="E499" s="35" t="str">
        <f t="shared" si="20"/>
        <v xml:space="preserve">Band Target </v>
      </c>
      <c r="F499" s="34" t="s">
        <v>90</v>
      </c>
      <c r="G499" s="50" t="s">
        <v>227</v>
      </c>
    </row>
    <row r="500" spans="1:7" ht="12.75">
      <c r="A500" s="71" t="s">
        <v>269</v>
      </c>
      <c r="B500" s="34"/>
      <c r="C500" s="34"/>
      <c r="D500" s="70" t="s">
        <v>265</v>
      </c>
      <c r="E500" s="35" t="str">
        <f t="shared" si="20"/>
        <v xml:space="preserve">Band Target </v>
      </c>
      <c r="F500" s="34" t="s">
        <v>91</v>
      </c>
      <c r="G500" s="50" t="s">
        <v>255</v>
      </c>
    </row>
    <row r="501" spans="1:7" ht="12.75">
      <c r="A501" s="71" t="s">
        <v>269</v>
      </c>
      <c r="B501" s="34"/>
      <c r="C501" s="34"/>
      <c r="D501" s="70" t="s">
        <v>265</v>
      </c>
      <c r="E501" s="35" t="str">
        <f t="shared" si="20"/>
        <v xml:space="preserve">Band Target </v>
      </c>
      <c r="F501" s="34" t="s">
        <v>92</v>
      </c>
      <c r="G501" s="50" t="s">
        <v>255</v>
      </c>
    </row>
    <row r="502" spans="1:7" ht="12.75">
      <c r="A502" s="71" t="s">
        <v>269</v>
      </c>
      <c r="B502" s="34"/>
      <c r="C502" s="34"/>
      <c r="D502" s="70" t="s">
        <v>265</v>
      </c>
      <c r="E502" s="35" t="str">
        <f t="shared" si="20"/>
        <v xml:space="preserve">Band Target </v>
      </c>
      <c r="F502" s="34" t="s">
        <v>93</v>
      </c>
      <c r="G502" s="50" t="s">
        <v>227</v>
      </c>
    </row>
    <row r="503" spans="1:7" ht="12.75">
      <c r="A503" s="71" t="s">
        <v>269</v>
      </c>
      <c r="B503" s="34"/>
      <c r="C503" s="34"/>
      <c r="D503" s="70" t="s">
        <v>265</v>
      </c>
      <c r="E503" s="35" t="str">
        <f t="shared" si="20"/>
        <v xml:space="preserve">Band Target </v>
      </c>
      <c r="F503" s="34" t="s">
        <v>94</v>
      </c>
      <c r="G503" s="50" t="s">
        <v>261</v>
      </c>
    </row>
    <row r="504" spans="1:7" ht="12.75">
      <c r="A504" s="71" t="s">
        <v>269</v>
      </c>
      <c r="B504" s="34"/>
      <c r="C504" s="34"/>
      <c r="D504" s="70" t="s">
        <v>265</v>
      </c>
      <c r="E504" s="35" t="str">
        <f t="shared" si="20"/>
        <v xml:space="preserve">Band Target </v>
      </c>
      <c r="F504" s="34" t="s">
        <v>95</v>
      </c>
      <c r="G504" s="50" t="s">
        <v>262</v>
      </c>
    </row>
    <row r="505" spans="1:7" ht="12.75">
      <c r="A505" s="71" t="s">
        <v>269</v>
      </c>
      <c r="B505" s="34"/>
      <c r="C505" s="34"/>
      <c r="D505" s="70" t="s">
        <v>265</v>
      </c>
      <c r="E505" s="35" t="s">
        <v>153</v>
      </c>
      <c r="F505" s="34" t="s">
        <v>154</v>
      </c>
      <c r="G505" s="50" t="s">
        <v>101</v>
      </c>
    </row>
    <row r="506" spans="1:7" ht="12.75">
      <c r="A506" s="71" t="s">
        <v>269</v>
      </c>
      <c r="B506" s="34"/>
      <c r="C506" s="34"/>
      <c r="D506" s="70" t="s">
        <v>265</v>
      </c>
      <c r="E506" s="35" t="str">
        <f>E505</f>
        <v>UI default setting</v>
      </c>
      <c r="F506" s="34" t="s">
        <v>152</v>
      </c>
      <c r="G506" s="50" t="s">
        <v>101</v>
      </c>
    </row>
    <row r="507" spans="1:7" ht="12" hidden="1" customHeight="1">
      <c r="A507" s="34" t="s">
        <v>272</v>
      </c>
      <c r="B507" s="57" t="s">
        <v>211</v>
      </c>
      <c r="C507" s="34"/>
      <c r="D507" s="46" t="s">
        <v>130</v>
      </c>
      <c r="E507" s="35" t="s">
        <v>65</v>
      </c>
      <c r="F507" s="34" t="s">
        <v>66</v>
      </c>
      <c r="G507" s="50" t="s">
        <v>101</v>
      </c>
    </row>
    <row r="508" spans="1:7" hidden="1">
      <c r="A508" s="34" t="s">
        <v>272</v>
      </c>
      <c r="B508" s="57" t="s">
        <v>217</v>
      </c>
      <c r="C508" s="34"/>
      <c r="D508" s="47" t="s">
        <v>264</v>
      </c>
      <c r="E508" s="35" t="str">
        <f>E507</f>
        <v>Dolby Speaker Configuration</v>
      </c>
      <c r="F508" s="34" t="s">
        <v>67</v>
      </c>
      <c r="G508" s="50" t="s">
        <v>101</v>
      </c>
    </row>
    <row r="509" spans="1:7" hidden="1">
      <c r="A509" s="34" t="s">
        <v>272</v>
      </c>
      <c r="B509" s="57" t="s">
        <v>216</v>
      </c>
      <c r="C509" s="34"/>
      <c r="D509" s="47" t="s">
        <v>264</v>
      </c>
      <c r="E509" s="35" t="str">
        <f>E508</f>
        <v>Dolby Speaker Configuration</v>
      </c>
      <c r="F509" s="34" t="s">
        <v>68</v>
      </c>
      <c r="G509" s="50" t="s">
        <v>101</v>
      </c>
    </row>
    <row r="510" spans="1:7" hidden="1">
      <c r="A510" s="34" t="s">
        <v>272</v>
      </c>
      <c r="B510" s="57" t="s">
        <v>218</v>
      </c>
      <c r="C510" s="34"/>
      <c r="D510" s="47" t="s">
        <v>264</v>
      </c>
      <c r="E510" s="35" t="str">
        <f>E509</f>
        <v>Dolby Speaker Configuration</v>
      </c>
      <c r="F510" s="34" t="s">
        <v>69</v>
      </c>
      <c r="G510" s="50" t="s">
        <v>101</v>
      </c>
    </row>
    <row r="511" spans="1:7" hidden="1">
      <c r="A511" s="34" t="s">
        <v>272</v>
      </c>
      <c r="B511" s="72"/>
      <c r="C511" s="34"/>
      <c r="D511" s="47" t="s">
        <v>264</v>
      </c>
      <c r="E511" s="35" t="str">
        <f>E510</f>
        <v>Dolby Speaker Configuration</v>
      </c>
      <c r="F511" s="34" t="s">
        <v>155</v>
      </c>
      <c r="G511" s="50" t="s">
        <v>221</v>
      </c>
    </row>
    <row r="512" spans="1:7" hidden="1">
      <c r="A512" s="34" t="s">
        <v>272</v>
      </c>
      <c r="B512" s="57" t="s">
        <v>219</v>
      </c>
      <c r="C512" s="34"/>
      <c r="D512" s="47" t="s">
        <v>264</v>
      </c>
      <c r="E512" s="35" t="s">
        <v>171</v>
      </c>
      <c r="F512" s="34" t="s">
        <v>171</v>
      </c>
      <c r="G512" s="50" t="s">
        <v>101</v>
      </c>
    </row>
    <row r="513" spans="1:7" hidden="1">
      <c r="A513" s="34" t="s">
        <v>272</v>
      </c>
      <c r="B513" s="34"/>
      <c r="C513" s="34"/>
      <c r="D513" s="47" t="s">
        <v>264</v>
      </c>
      <c r="E513" s="35" t="s">
        <v>46</v>
      </c>
      <c r="F513" s="34" t="s">
        <v>156</v>
      </c>
      <c r="G513" s="50" t="s">
        <v>101</v>
      </c>
    </row>
    <row r="514" spans="1:7" hidden="1">
      <c r="A514" s="34" t="s">
        <v>272</v>
      </c>
      <c r="B514" s="57" t="s">
        <v>214</v>
      </c>
      <c r="C514" s="34"/>
      <c r="D514" s="47" t="s">
        <v>264</v>
      </c>
      <c r="E514" s="35" t="s">
        <v>63</v>
      </c>
      <c r="F514" s="34" t="s">
        <v>127</v>
      </c>
      <c r="G514" s="50" t="s">
        <v>101</v>
      </c>
    </row>
    <row r="515" spans="1:7" hidden="1">
      <c r="A515" s="34" t="s">
        <v>272</v>
      </c>
      <c r="B515" s="53" t="s">
        <v>212</v>
      </c>
      <c r="C515" s="34"/>
      <c r="D515" s="47" t="s">
        <v>264</v>
      </c>
      <c r="E515" s="35" t="str">
        <f>E514</f>
        <v>Dialog Enhancement</v>
      </c>
      <c r="F515" s="34" t="s">
        <v>134</v>
      </c>
      <c r="G515" s="50" t="s">
        <v>228</v>
      </c>
    </row>
    <row r="516" spans="1:7" hidden="1">
      <c r="A516" s="34" t="s">
        <v>272</v>
      </c>
      <c r="B516" s="53" t="s">
        <v>212</v>
      </c>
      <c r="C516" s="34"/>
      <c r="D516" s="47" t="s">
        <v>264</v>
      </c>
      <c r="E516" s="35" t="str">
        <f>E515</f>
        <v>Dialog Enhancement</v>
      </c>
      <c r="F516" s="34" t="s">
        <v>135</v>
      </c>
      <c r="G516" s="50" t="s">
        <v>101</v>
      </c>
    </row>
    <row r="517" spans="1:7" hidden="1">
      <c r="A517" s="34" t="s">
        <v>272</v>
      </c>
      <c r="B517" s="57" t="s">
        <v>212</v>
      </c>
      <c r="C517" s="34"/>
      <c r="D517" s="47" t="s">
        <v>264</v>
      </c>
      <c r="E517" s="35" t="str">
        <f>E516</f>
        <v>Dialog Enhancement</v>
      </c>
      <c r="F517" s="34" t="s">
        <v>136</v>
      </c>
      <c r="G517" s="50" t="s">
        <v>101</v>
      </c>
    </row>
    <row r="518" spans="1:7" hidden="1">
      <c r="A518" s="34" t="s">
        <v>272</v>
      </c>
      <c r="B518" s="57" t="s">
        <v>213</v>
      </c>
      <c r="C518" s="34"/>
      <c r="D518" s="47" t="s">
        <v>264</v>
      </c>
      <c r="E518" s="35" t="str">
        <f>E517</f>
        <v>Dialog Enhancement</v>
      </c>
      <c r="F518" s="34" t="s">
        <v>170</v>
      </c>
      <c r="G518" s="50" t="s">
        <v>101</v>
      </c>
    </row>
    <row r="519" spans="1:7" hidden="1">
      <c r="A519" s="34" t="s">
        <v>272</v>
      </c>
      <c r="B519" s="53" t="s">
        <v>215</v>
      </c>
      <c r="C519" s="34"/>
      <c r="D519" s="47" t="s">
        <v>264</v>
      </c>
      <c r="E519" s="35" t="str">
        <f>E518</f>
        <v>Dialog Enhancement</v>
      </c>
      <c r="F519" s="34" t="s">
        <v>42</v>
      </c>
      <c r="G519" s="50" t="s">
        <v>225</v>
      </c>
    </row>
    <row r="520" spans="1:7" hidden="1">
      <c r="A520" s="34" t="s">
        <v>272</v>
      </c>
      <c r="B520" s="57" t="s">
        <v>285</v>
      </c>
      <c r="C520" s="34"/>
      <c r="D520" s="47" t="s">
        <v>264</v>
      </c>
      <c r="E520" s="33" t="s">
        <v>62</v>
      </c>
      <c r="F520" s="34" t="s">
        <v>40</v>
      </c>
      <c r="G520" s="50" t="s">
        <v>101</v>
      </c>
    </row>
    <row r="521" spans="1:7" hidden="1">
      <c r="A521" s="34" t="s">
        <v>272</v>
      </c>
      <c r="B521" s="53" t="s">
        <v>286</v>
      </c>
      <c r="C521" s="34"/>
      <c r="D521" s="47" t="s">
        <v>264</v>
      </c>
      <c r="E521" s="35" t="str">
        <f>E520</f>
        <v>Surround</v>
      </c>
      <c r="F521" s="34" t="s">
        <v>41</v>
      </c>
      <c r="G521" s="50" t="s">
        <v>101</v>
      </c>
    </row>
    <row r="522" spans="1:7" hidden="1">
      <c r="A522" s="34" t="s">
        <v>272</v>
      </c>
      <c r="B522" s="34"/>
      <c r="C522" s="34"/>
      <c r="D522" s="47" t="s">
        <v>264</v>
      </c>
      <c r="E522" s="35" t="str">
        <f>E521</f>
        <v>Surround</v>
      </c>
      <c r="F522" s="34" t="s">
        <v>157</v>
      </c>
      <c r="G522" s="50" t="s">
        <v>224</v>
      </c>
    </row>
    <row r="523" spans="1:7" hidden="1">
      <c r="A523" s="34" t="s">
        <v>272</v>
      </c>
      <c r="B523" s="53" t="s">
        <v>284</v>
      </c>
      <c r="C523" s="34"/>
      <c r="D523" s="47" t="s">
        <v>264</v>
      </c>
      <c r="E523" s="35" t="str">
        <f>E522</f>
        <v>Surround</v>
      </c>
      <c r="F523" s="34" t="s">
        <v>131</v>
      </c>
      <c r="G523" s="50" t="s">
        <v>263</v>
      </c>
    </row>
    <row r="524" spans="1:7" hidden="1">
      <c r="A524" s="34" t="s">
        <v>272</v>
      </c>
      <c r="B524" s="53" t="s">
        <v>284</v>
      </c>
      <c r="C524" s="34"/>
      <c r="D524" s="47" t="s">
        <v>264</v>
      </c>
      <c r="E524" s="35" t="str">
        <f>E523</f>
        <v>Surround</v>
      </c>
      <c r="F524" s="34" t="s">
        <v>132</v>
      </c>
      <c r="G524" s="50" t="s">
        <v>101</v>
      </c>
    </row>
    <row r="525" spans="1:7" hidden="1">
      <c r="A525" s="34" t="s">
        <v>272</v>
      </c>
      <c r="B525" s="57" t="s">
        <v>284</v>
      </c>
      <c r="C525" s="34"/>
      <c r="D525" s="47" t="s">
        <v>264</v>
      </c>
      <c r="E525" s="35" t="str">
        <f>E524</f>
        <v>Surround</v>
      </c>
      <c r="F525" s="34" t="s">
        <v>133</v>
      </c>
      <c r="G525" s="50" t="s">
        <v>101</v>
      </c>
    </row>
    <row r="526" spans="1:7" hidden="1">
      <c r="A526" s="34" t="s">
        <v>272</v>
      </c>
      <c r="B526" s="57" t="s">
        <v>274</v>
      </c>
      <c r="C526" s="34"/>
      <c r="D526" s="47" t="s">
        <v>264</v>
      </c>
      <c r="E526" s="35" t="s">
        <v>64</v>
      </c>
      <c r="F526" s="34" t="s">
        <v>43</v>
      </c>
      <c r="G526" s="50" t="s">
        <v>101</v>
      </c>
    </row>
    <row r="527" spans="1:7" hidden="1">
      <c r="A527" s="34" t="s">
        <v>272</v>
      </c>
      <c r="B527" s="53" t="s">
        <v>275</v>
      </c>
      <c r="C527" s="34"/>
      <c r="D527" s="47" t="s">
        <v>264</v>
      </c>
      <c r="E527" s="35" t="str">
        <f>E526</f>
        <v>Bass Enhancer</v>
      </c>
      <c r="F527" s="34" t="s">
        <v>137</v>
      </c>
      <c r="G527" s="50" t="s">
        <v>263</v>
      </c>
    </row>
    <row r="528" spans="1:7" hidden="1">
      <c r="A528" s="34" t="s">
        <v>272</v>
      </c>
      <c r="B528" s="53" t="s">
        <v>275</v>
      </c>
      <c r="C528" s="34"/>
      <c r="D528" s="47" t="s">
        <v>264</v>
      </c>
      <c r="E528" s="35" t="str">
        <f>E527</f>
        <v>Bass Enhancer</v>
      </c>
      <c r="F528" s="34" t="s">
        <v>138</v>
      </c>
      <c r="G528" s="50" t="s">
        <v>101</v>
      </c>
    </row>
    <row r="529" spans="1:7" hidden="1">
      <c r="A529" s="34" t="s">
        <v>272</v>
      </c>
      <c r="B529" s="57" t="s">
        <v>275</v>
      </c>
      <c r="C529" s="34"/>
      <c r="D529" s="47" t="s">
        <v>264</v>
      </c>
      <c r="E529" s="35" t="str">
        <f>E528</f>
        <v>Bass Enhancer</v>
      </c>
      <c r="F529" s="34" t="s">
        <v>139</v>
      </c>
      <c r="G529" s="50" t="s">
        <v>101</v>
      </c>
    </row>
    <row r="530" spans="1:7" hidden="1">
      <c r="A530" s="34" t="s">
        <v>272</v>
      </c>
      <c r="B530" s="57" t="s">
        <v>277</v>
      </c>
      <c r="C530" s="34"/>
      <c r="D530" s="47" t="s">
        <v>264</v>
      </c>
      <c r="E530" s="35" t="str">
        <f>E529</f>
        <v>Bass Enhancer</v>
      </c>
      <c r="F530" s="34" t="s">
        <v>44</v>
      </c>
      <c r="G530" s="50" t="s">
        <v>222</v>
      </c>
    </row>
    <row r="531" spans="1:7" hidden="1">
      <c r="A531" s="34" t="s">
        <v>272</v>
      </c>
      <c r="B531" s="57" t="s">
        <v>276</v>
      </c>
      <c r="C531" s="34"/>
      <c r="D531" s="47" t="s">
        <v>264</v>
      </c>
      <c r="E531" s="35" t="str">
        <f>E530</f>
        <v>Bass Enhancer</v>
      </c>
      <c r="F531" s="34" t="s">
        <v>45</v>
      </c>
      <c r="G531" s="50" t="s">
        <v>228</v>
      </c>
    </row>
    <row r="532" spans="1:7" hidden="1">
      <c r="A532" s="34" t="s">
        <v>272</v>
      </c>
      <c r="B532" s="36"/>
      <c r="C532" s="36"/>
      <c r="D532" s="47" t="s">
        <v>264</v>
      </c>
      <c r="E532" s="34" t="s">
        <v>168</v>
      </c>
      <c r="F532" s="36" t="s">
        <v>158</v>
      </c>
      <c r="G532" s="50" t="s">
        <v>101</v>
      </c>
    </row>
    <row r="533" spans="1:7" hidden="1">
      <c r="A533" s="34" t="s">
        <v>272</v>
      </c>
      <c r="B533" s="36"/>
      <c r="C533" s="36"/>
      <c r="D533" s="47" t="s">
        <v>264</v>
      </c>
      <c r="E533" s="35" t="str">
        <f t="shared" ref="E533:E541" si="21">E532</f>
        <v>Virtual_Bass</v>
      </c>
      <c r="F533" s="36" t="s">
        <v>159</v>
      </c>
      <c r="G533" s="50" t="s">
        <v>229</v>
      </c>
    </row>
    <row r="534" spans="1:7" hidden="1">
      <c r="A534" s="34" t="s">
        <v>272</v>
      </c>
      <c r="B534" s="36"/>
      <c r="C534" s="36"/>
      <c r="D534" s="47" t="s">
        <v>264</v>
      </c>
      <c r="E534" s="35" t="str">
        <f t="shared" si="21"/>
        <v>Virtual_Bass</v>
      </c>
      <c r="F534" s="36" t="s">
        <v>160</v>
      </c>
      <c r="G534" s="50" t="s">
        <v>230</v>
      </c>
    </row>
    <row r="535" spans="1:7" hidden="1">
      <c r="A535" s="34" t="s">
        <v>272</v>
      </c>
      <c r="B535" s="36"/>
      <c r="C535" s="36"/>
      <c r="D535" s="47" t="s">
        <v>264</v>
      </c>
      <c r="E535" s="35" t="str">
        <f t="shared" si="21"/>
        <v>Virtual_Bass</v>
      </c>
      <c r="F535" s="36" t="s">
        <v>161</v>
      </c>
      <c r="G535" s="50" t="s">
        <v>101</v>
      </c>
    </row>
    <row r="536" spans="1:7" hidden="1">
      <c r="A536" s="34" t="s">
        <v>272</v>
      </c>
      <c r="B536" s="36"/>
      <c r="C536" s="36"/>
      <c r="D536" s="47" t="s">
        <v>264</v>
      </c>
      <c r="E536" s="35" t="str">
        <f t="shared" si="21"/>
        <v>Virtual_Bass</v>
      </c>
      <c r="F536" s="36" t="s">
        <v>162</v>
      </c>
      <c r="G536" s="50" t="s">
        <v>101</v>
      </c>
    </row>
    <row r="537" spans="1:7" hidden="1">
      <c r="A537" s="34" t="s">
        <v>272</v>
      </c>
      <c r="B537" s="36"/>
      <c r="C537" s="36"/>
      <c r="D537" s="47" t="s">
        <v>264</v>
      </c>
      <c r="E537" s="35" t="str">
        <f t="shared" si="21"/>
        <v>Virtual_Bass</v>
      </c>
      <c r="F537" s="36" t="s">
        <v>163</v>
      </c>
      <c r="G537" s="50" t="s">
        <v>231</v>
      </c>
    </row>
    <row r="538" spans="1:7" hidden="1">
      <c r="A538" s="34" t="s">
        <v>272</v>
      </c>
      <c r="B538" s="36"/>
      <c r="C538" s="36"/>
      <c r="D538" s="47" t="s">
        <v>264</v>
      </c>
      <c r="E538" s="35" t="str">
        <f t="shared" si="21"/>
        <v>Virtual_Bass</v>
      </c>
      <c r="F538" s="36" t="s">
        <v>164</v>
      </c>
      <c r="G538" s="50" t="s">
        <v>232</v>
      </c>
    </row>
    <row r="539" spans="1:7" hidden="1">
      <c r="A539" s="34" t="s">
        <v>272</v>
      </c>
      <c r="B539" s="36"/>
      <c r="C539" s="36"/>
      <c r="D539" s="47" t="s">
        <v>264</v>
      </c>
      <c r="E539" s="35" t="str">
        <f t="shared" si="21"/>
        <v>Virtual_Bass</v>
      </c>
      <c r="F539" s="36" t="s">
        <v>165</v>
      </c>
      <c r="G539" s="50" t="s">
        <v>233</v>
      </c>
    </row>
    <row r="540" spans="1:7" hidden="1">
      <c r="A540" s="34" t="s">
        <v>272</v>
      </c>
      <c r="B540" s="36"/>
      <c r="C540" s="36"/>
      <c r="D540" s="47" t="s">
        <v>264</v>
      </c>
      <c r="E540" s="35" t="str">
        <f t="shared" si="21"/>
        <v>Virtual_Bass</v>
      </c>
      <c r="F540" s="36" t="s">
        <v>166</v>
      </c>
      <c r="G540" s="50" t="s">
        <v>234</v>
      </c>
    </row>
    <row r="541" spans="1:7" hidden="1">
      <c r="A541" s="34" t="s">
        <v>272</v>
      </c>
      <c r="B541" s="36"/>
      <c r="C541" s="36"/>
      <c r="D541" s="47" t="s">
        <v>264</v>
      </c>
      <c r="E541" s="35" t="str">
        <f t="shared" si="21"/>
        <v>Virtual_Bass</v>
      </c>
      <c r="F541" s="36" t="s">
        <v>167</v>
      </c>
      <c r="G541" s="50" t="s">
        <v>235</v>
      </c>
    </row>
    <row r="542" spans="1:7" hidden="1">
      <c r="A542" s="34" t="s">
        <v>272</v>
      </c>
      <c r="B542" s="57" t="s">
        <v>278</v>
      </c>
      <c r="C542" s="34"/>
      <c r="D542" s="47" t="s">
        <v>264</v>
      </c>
      <c r="E542" s="34" t="s">
        <v>71</v>
      </c>
      <c r="F542" s="34" t="s">
        <v>72</v>
      </c>
      <c r="G542" s="50" t="s">
        <v>101</v>
      </c>
    </row>
    <row r="543" spans="1:7" hidden="1">
      <c r="A543" s="34" t="s">
        <v>272</v>
      </c>
      <c r="B543" s="53" t="s">
        <v>279</v>
      </c>
      <c r="C543" s="34"/>
      <c r="D543" s="47" t="s">
        <v>264</v>
      </c>
      <c r="E543" s="35" t="str">
        <f>E542</f>
        <v>Graphic EQ</v>
      </c>
      <c r="F543" s="34" t="s">
        <v>73</v>
      </c>
      <c r="G543" s="50" t="s">
        <v>236</v>
      </c>
    </row>
    <row r="544" spans="1:7" hidden="1">
      <c r="A544" s="34" t="s">
        <v>272</v>
      </c>
      <c r="B544" s="53" t="s">
        <v>279</v>
      </c>
      <c r="C544" s="34"/>
      <c r="D544" s="47" t="s">
        <v>264</v>
      </c>
      <c r="E544" s="35" t="s">
        <v>74</v>
      </c>
      <c r="F544" s="34" t="s">
        <v>18</v>
      </c>
      <c r="G544" s="50" t="s">
        <v>237</v>
      </c>
    </row>
    <row r="545" spans="1:7" hidden="1">
      <c r="A545" s="34" t="s">
        <v>272</v>
      </c>
      <c r="B545" s="34"/>
      <c r="C545" s="34"/>
      <c r="D545" s="47" t="s">
        <v>264</v>
      </c>
      <c r="E545" s="35" t="str">
        <f t="shared" ref="E545:E563" si="22">E544</f>
        <v>Band Center</v>
      </c>
      <c r="F545" s="34" t="s">
        <v>19</v>
      </c>
      <c r="G545" s="50" t="s">
        <v>238</v>
      </c>
    </row>
    <row r="546" spans="1:7" hidden="1">
      <c r="A546" s="34" t="s">
        <v>272</v>
      </c>
      <c r="B546" s="34"/>
      <c r="C546" s="34"/>
      <c r="D546" s="47" t="s">
        <v>264</v>
      </c>
      <c r="E546" s="35" t="str">
        <f t="shared" si="22"/>
        <v>Band Center</v>
      </c>
      <c r="F546" s="34" t="s">
        <v>20</v>
      </c>
      <c r="G546" s="50" t="s">
        <v>239</v>
      </c>
    </row>
    <row r="547" spans="1:7" hidden="1">
      <c r="A547" s="34" t="s">
        <v>272</v>
      </c>
      <c r="B547" s="34"/>
      <c r="C547" s="34"/>
      <c r="D547" s="47" t="s">
        <v>264</v>
      </c>
      <c r="E547" s="35" t="str">
        <f t="shared" si="22"/>
        <v>Band Center</v>
      </c>
      <c r="F547" s="34" t="s">
        <v>21</v>
      </c>
      <c r="G547" s="50" t="s">
        <v>240</v>
      </c>
    </row>
    <row r="548" spans="1:7" hidden="1">
      <c r="A548" s="34" t="s">
        <v>272</v>
      </c>
      <c r="B548" s="34"/>
      <c r="C548" s="34"/>
      <c r="D548" s="47" t="s">
        <v>264</v>
      </c>
      <c r="E548" s="35" t="str">
        <f t="shared" si="22"/>
        <v>Band Center</v>
      </c>
      <c r="F548" s="34" t="s">
        <v>22</v>
      </c>
      <c r="G548" s="50" t="s">
        <v>235</v>
      </c>
    </row>
    <row r="549" spans="1:7" hidden="1">
      <c r="A549" s="34" t="s">
        <v>272</v>
      </c>
      <c r="B549" s="34"/>
      <c r="C549" s="34"/>
      <c r="D549" s="47" t="s">
        <v>264</v>
      </c>
      <c r="E549" s="35" t="str">
        <f t="shared" si="22"/>
        <v>Band Center</v>
      </c>
      <c r="F549" s="34" t="s">
        <v>23</v>
      </c>
      <c r="G549" s="50" t="s">
        <v>241</v>
      </c>
    </row>
    <row r="550" spans="1:7" hidden="1">
      <c r="A550" s="34" t="s">
        <v>272</v>
      </c>
      <c r="B550" s="34"/>
      <c r="C550" s="34"/>
      <c r="D550" s="47" t="s">
        <v>264</v>
      </c>
      <c r="E550" s="35" t="str">
        <f t="shared" si="22"/>
        <v>Band Center</v>
      </c>
      <c r="F550" s="34" t="s">
        <v>24</v>
      </c>
      <c r="G550" s="50" t="s">
        <v>242</v>
      </c>
    </row>
    <row r="551" spans="1:7" hidden="1">
      <c r="A551" s="34" t="s">
        <v>272</v>
      </c>
      <c r="B551" s="34"/>
      <c r="C551" s="34"/>
      <c r="D551" s="47" t="s">
        <v>264</v>
      </c>
      <c r="E551" s="35" t="str">
        <f t="shared" si="22"/>
        <v>Band Center</v>
      </c>
      <c r="F551" s="34" t="s">
        <v>25</v>
      </c>
      <c r="G551" s="50" t="s">
        <v>243</v>
      </c>
    </row>
    <row r="552" spans="1:7" hidden="1">
      <c r="A552" s="34" t="s">
        <v>272</v>
      </c>
      <c r="B552" s="34"/>
      <c r="C552" s="34"/>
      <c r="D552" s="47" t="s">
        <v>264</v>
      </c>
      <c r="E552" s="35" t="str">
        <f t="shared" si="22"/>
        <v>Band Center</v>
      </c>
      <c r="F552" s="34" t="s">
        <v>26</v>
      </c>
      <c r="G552" s="50" t="s">
        <v>244</v>
      </c>
    </row>
    <row r="553" spans="1:7" hidden="1">
      <c r="A553" s="34" t="s">
        <v>272</v>
      </c>
      <c r="B553" s="34"/>
      <c r="C553" s="34"/>
      <c r="D553" s="47" t="s">
        <v>264</v>
      </c>
      <c r="E553" s="35" t="str">
        <f t="shared" si="22"/>
        <v>Band Center</v>
      </c>
      <c r="F553" s="34" t="s">
        <v>27</v>
      </c>
      <c r="G553" s="50" t="s">
        <v>245</v>
      </c>
    </row>
    <row r="554" spans="1:7" hidden="1">
      <c r="A554" s="34" t="s">
        <v>272</v>
      </c>
      <c r="B554" s="34"/>
      <c r="C554" s="34"/>
      <c r="D554" s="47" t="s">
        <v>264</v>
      </c>
      <c r="E554" s="35" t="str">
        <f t="shared" si="22"/>
        <v>Band Center</v>
      </c>
      <c r="F554" s="34" t="s">
        <v>28</v>
      </c>
      <c r="G554" s="50" t="s">
        <v>246</v>
      </c>
    </row>
    <row r="555" spans="1:7" hidden="1">
      <c r="A555" s="34" t="s">
        <v>272</v>
      </c>
      <c r="B555" s="34"/>
      <c r="C555" s="34"/>
      <c r="D555" s="47" t="s">
        <v>264</v>
      </c>
      <c r="E555" s="35" t="str">
        <f t="shared" si="22"/>
        <v>Band Center</v>
      </c>
      <c r="F555" s="34" t="s">
        <v>29</v>
      </c>
      <c r="G555" s="50" t="s">
        <v>223</v>
      </c>
    </row>
    <row r="556" spans="1:7" hidden="1">
      <c r="A556" s="34" t="s">
        <v>272</v>
      </c>
      <c r="B556" s="34"/>
      <c r="C556" s="34"/>
      <c r="D556" s="47" t="s">
        <v>264</v>
      </c>
      <c r="E556" s="35" t="str">
        <f t="shared" si="22"/>
        <v>Band Center</v>
      </c>
      <c r="F556" s="34" t="s">
        <v>30</v>
      </c>
      <c r="G556" s="50" t="s">
        <v>247</v>
      </c>
    </row>
    <row r="557" spans="1:7" hidden="1">
      <c r="A557" s="34" t="s">
        <v>272</v>
      </c>
      <c r="B557" s="34"/>
      <c r="C557" s="34"/>
      <c r="D557" s="47" t="s">
        <v>264</v>
      </c>
      <c r="E557" s="35" t="str">
        <f t="shared" si="22"/>
        <v>Band Center</v>
      </c>
      <c r="F557" s="34" t="s">
        <v>31</v>
      </c>
      <c r="G557" s="50" t="s">
        <v>248</v>
      </c>
    </row>
    <row r="558" spans="1:7" hidden="1">
      <c r="A558" s="34" t="s">
        <v>272</v>
      </c>
      <c r="B558" s="34"/>
      <c r="C558" s="34"/>
      <c r="D558" s="47" t="s">
        <v>264</v>
      </c>
      <c r="E558" s="35" t="str">
        <f t="shared" si="22"/>
        <v>Band Center</v>
      </c>
      <c r="F558" s="34" t="s">
        <v>32</v>
      </c>
      <c r="G558" s="50" t="s">
        <v>249</v>
      </c>
    </row>
    <row r="559" spans="1:7" hidden="1">
      <c r="A559" s="34" t="s">
        <v>272</v>
      </c>
      <c r="B559" s="34"/>
      <c r="C559" s="34"/>
      <c r="D559" s="47" t="s">
        <v>264</v>
      </c>
      <c r="E559" s="35" t="str">
        <f t="shared" si="22"/>
        <v>Band Center</v>
      </c>
      <c r="F559" s="34" t="s">
        <v>33</v>
      </c>
      <c r="G559" s="50" t="s">
        <v>250</v>
      </c>
    </row>
    <row r="560" spans="1:7" hidden="1">
      <c r="A560" s="34" t="s">
        <v>272</v>
      </c>
      <c r="B560" s="34"/>
      <c r="C560" s="34"/>
      <c r="D560" s="47" t="s">
        <v>264</v>
      </c>
      <c r="E560" s="35" t="str">
        <f t="shared" si="22"/>
        <v>Band Center</v>
      </c>
      <c r="F560" s="34" t="s">
        <v>34</v>
      </c>
      <c r="G560" s="50" t="s">
        <v>251</v>
      </c>
    </row>
    <row r="561" spans="1:7" hidden="1">
      <c r="A561" s="34" t="s">
        <v>272</v>
      </c>
      <c r="B561" s="34"/>
      <c r="C561" s="34"/>
      <c r="D561" s="47" t="s">
        <v>264</v>
      </c>
      <c r="E561" s="35" t="str">
        <f t="shared" si="22"/>
        <v>Band Center</v>
      </c>
      <c r="F561" s="34" t="s">
        <v>35</v>
      </c>
      <c r="G561" s="50" t="s">
        <v>252</v>
      </c>
    </row>
    <row r="562" spans="1:7" hidden="1">
      <c r="A562" s="34" t="s">
        <v>272</v>
      </c>
      <c r="B562" s="34"/>
      <c r="C562" s="34"/>
      <c r="D562" s="47" t="s">
        <v>264</v>
      </c>
      <c r="E562" s="35" t="str">
        <f t="shared" si="22"/>
        <v>Band Center</v>
      </c>
      <c r="F562" s="34" t="s">
        <v>36</v>
      </c>
      <c r="G562" s="50" t="s">
        <v>253</v>
      </c>
    </row>
    <row r="563" spans="1:7" hidden="1">
      <c r="A563" s="34" t="s">
        <v>272</v>
      </c>
      <c r="B563" s="34"/>
      <c r="C563" s="34"/>
      <c r="D563" s="47" t="s">
        <v>264</v>
      </c>
      <c r="E563" s="35" t="str">
        <f t="shared" si="22"/>
        <v>Band Center</v>
      </c>
      <c r="F563" s="34" t="s">
        <v>37</v>
      </c>
      <c r="G563" s="50" t="s">
        <v>254</v>
      </c>
    </row>
    <row r="564" spans="1:7" hidden="1">
      <c r="A564" s="34" t="s">
        <v>272</v>
      </c>
      <c r="B564" s="34"/>
      <c r="C564" s="34"/>
      <c r="D564" s="47" t="s">
        <v>264</v>
      </c>
      <c r="E564" s="35" t="s">
        <v>75</v>
      </c>
      <c r="F564" s="34" t="s">
        <v>76</v>
      </c>
      <c r="G564" s="50" t="s">
        <v>101</v>
      </c>
    </row>
    <row r="565" spans="1:7" hidden="1">
      <c r="A565" s="34" t="s">
        <v>272</v>
      </c>
      <c r="B565" s="34"/>
      <c r="C565" s="34"/>
      <c r="D565" s="47" t="s">
        <v>264</v>
      </c>
      <c r="E565" s="35" t="str">
        <f t="shared" ref="E565:E583" si="23">E564</f>
        <v>Band Target</v>
      </c>
      <c r="F565" s="34" t="s">
        <v>77</v>
      </c>
      <c r="G565" s="50" t="s">
        <v>101</v>
      </c>
    </row>
    <row r="566" spans="1:7" hidden="1">
      <c r="A566" s="34" t="s">
        <v>272</v>
      </c>
      <c r="B566" s="34"/>
      <c r="C566" s="34"/>
      <c r="D566" s="47" t="s">
        <v>264</v>
      </c>
      <c r="E566" s="35" t="str">
        <f t="shared" si="23"/>
        <v>Band Target</v>
      </c>
      <c r="F566" s="34" t="s">
        <v>78</v>
      </c>
      <c r="G566" s="50" t="s">
        <v>101</v>
      </c>
    </row>
    <row r="567" spans="1:7" hidden="1">
      <c r="A567" s="34" t="s">
        <v>272</v>
      </c>
      <c r="B567" s="34"/>
      <c r="C567" s="34"/>
      <c r="D567" s="47" t="s">
        <v>264</v>
      </c>
      <c r="E567" s="35" t="str">
        <f t="shared" si="23"/>
        <v>Band Target</v>
      </c>
      <c r="F567" s="34" t="s">
        <v>79</v>
      </c>
      <c r="G567" s="50" t="s">
        <v>101</v>
      </c>
    </row>
    <row r="568" spans="1:7" hidden="1">
      <c r="A568" s="34" t="s">
        <v>272</v>
      </c>
      <c r="B568" s="34"/>
      <c r="C568" s="34"/>
      <c r="D568" s="47" t="s">
        <v>264</v>
      </c>
      <c r="E568" s="35" t="str">
        <f t="shared" si="23"/>
        <v>Band Target</v>
      </c>
      <c r="F568" s="34" t="s">
        <v>80</v>
      </c>
      <c r="G568" s="50" t="s">
        <v>101</v>
      </c>
    </row>
    <row r="569" spans="1:7" hidden="1">
      <c r="A569" s="34" t="s">
        <v>272</v>
      </c>
      <c r="B569" s="34"/>
      <c r="C569" s="34"/>
      <c r="D569" s="47" t="s">
        <v>264</v>
      </c>
      <c r="E569" s="35" t="str">
        <f t="shared" si="23"/>
        <v>Band Target</v>
      </c>
      <c r="F569" s="34" t="s">
        <v>81</v>
      </c>
      <c r="G569" s="50" t="s">
        <v>101</v>
      </c>
    </row>
    <row r="570" spans="1:7" hidden="1">
      <c r="A570" s="34" t="s">
        <v>272</v>
      </c>
      <c r="B570" s="34"/>
      <c r="C570" s="34"/>
      <c r="D570" s="47" t="s">
        <v>264</v>
      </c>
      <c r="E570" s="35" t="str">
        <f t="shared" si="23"/>
        <v>Band Target</v>
      </c>
      <c r="F570" s="34" t="s">
        <v>82</v>
      </c>
      <c r="G570" s="50" t="s">
        <v>101</v>
      </c>
    </row>
    <row r="571" spans="1:7" hidden="1">
      <c r="A571" s="34" t="s">
        <v>272</v>
      </c>
      <c r="B571" s="34"/>
      <c r="C571" s="34"/>
      <c r="D571" s="47" t="s">
        <v>264</v>
      </c>
      <c r="E571" s="35" t="str">
        <f t="shared" si="23"/>
        <v>Band Target</v>
      </c>
      <c r="F571" s="34" t="s">
        <v>83</v>
      </c>
      <c r="G571" s="50" t="s">
        <v>101</v>
      </c>
    </row>
    <row r="572" spans="1:7" hidden="1">
      <c r="A572" s="34" t="s">
        <v>272</v>
      </c>
      <c r="B572" s="34"/>
      <c r="C572" s="34"/>
      <c r="D572" s="47" t="s">
        <v>264</v>
      </c>
      <c r="E572" s="35" t="str">
        <f t="shared" si="23"/>
        <v>Band Target</v>
      </c>
      <c r="F572" s="34" t="s">
        <v>84</v>
      </c>
      <c r="G572" s="50" t="s">
        <v>101</v>
      </c>
    </row>
    <row r="573" spans="1:7" hidden="1">
      <c r="A573" s="34" t="s">
        <v>272</v>
      </c>
      <c r="B573" s="34"/>
      <c r="C573" s="34"/>
      <c r="D573" s="47" t="s">
        <v>264</v>
      </c>
      <c r="E573" s="35" t="str">
        <f t="shared" si="23"/>
        <v>Band Target</v>
      </c>
      <c r="F573" s="34" t="s">
        <v>85</v>
      </c>
      <c r="G573" s="50" t="s">
        <v>101</v>
      </c>
    </row>
    <row r="574" spans="1:7" hidden="1">
      <c r="A574" s="34" t="s">
        <v>272</v>
      </c>
      <c r="B574" s="34"/>
      <c r="C574" s="34"/>
      <c r="D574" s="47" t="s">
        <v>264</v>
      </c>
      <c r="E574" s="35" t="str">
        <f t="shared" si="23"/>
        <v>Band Target</v>
      </c>
      <c r="F574" s="34" t="s">
        <v>86</v>
      </c>
      <c r="G574" s="50" t="s">
        <v>101</v>
      </c>
    </row>
    <row r="575" spans="1:7" hidden="1">
      <c r="A575" s="34" t="s">
        <v>272</v>
      </c>
      <c r="B575" s="34"/>
      <c r="C575" s="34"/>
      <c r="D575" s="47" t="s">
        <v>264</v>
      </c>
      <c r="E575" s="35" t="str">
        <f t="shared" si="23"/>
        <v>Band Target</v>
      </c>
      <c r="F575" s="34" t="s">
        <v>87</v>
      </c>
      <c r="G575" s="50" t="s">
        <v>101</v>
      </c>
    </row>
    <row r="576" spans="1:7" hidden="1">
      <c r="A576" s="34" t="s">
        <v>272</v>
      </c>
      <c r="B576" s="34"/>
      <c r="C576" s="34"/>
      <c r="D576" s="47" t="s">
        <v>264</v>
      </c>
      <c r="E576" s="35" t="str">
        <f t="shared" si="23"/>
        <v>Band Target</v>
      </c>
      <c r="F576" s="34" t="s">
        <v>88</v>
      </c>
      <c r="G576" s="50" t="s">
        <v>101</v>
      </c>
    </row>
    <row r="577" spans="1:7" hidden="1">
      <c r="A577" s="34" t="s">
        <v>272</v>
      </c>
      <c r="B577" s="34"/>
      <c r="C577" s="34"/>
      <c r="D577" s="47" t="s">
        <v>264</v>
      </c>
      <c r="E577" s="35" t="str">
        <f t="shared" si="23"/>
        <v>Band Target</v>
      </c>
      <c r="F577" s="34" t="s">
        <v>89</v>
      </c>
      <c r="G577" s="50" t="s">
        <v>101</v>
      </c>
    </row>
    <row r="578" spans="1:7" hidden="1">
      <c r="A578" s="34" t="s">
        <v>272</v>
      </c>
      <c r="B578" s="34"/>
      <c r="C578" s="34"/>
      <c r="D578" s="47" t="s">
        <v>264</v>
      </c>
      <c r="E578" s="35" t="str">
        <f t="shared" si="23"/>
        <v>Band Target</v>
      </c>
      <c r="F578" s="34" t="s">
        <v>90</v>
      </c>
      <c r="G578" s="50" t="s">
        <v>101</v>
      </c>
    </row>
    <row r="579" spans="1:7" hidden="1">
      <c r="A579" s="34" t="s">
        <v>272</v>
      </c>
      <c r="B579" s="34"/>
      <c r="C579" s="34"/>
      <c r="D579" s="47" t="s">
        <v>264</v>
      </c>
      <c r="E579" s="35" t="str">
        <f t="shared" si="23"/>
        <v>Band Target</v>
      </c>
      <c r="F579" s="34" t="s">
        <v>91</v>
      </c>
      <c r="G579" s="50" t="s">
        <v>101</v>
      </c>
    </row>
    <row r="580" spans="1:7" hidden="1">
      <c r="A580" s="34" t="s">
        <v>272</v>
      </c>
      <c r="B580" s="34"/>
      <c r="C580" s="34"/>
      <c r="D580" s="47" t="s">
        <v>264</v>
      </c>
      <c r="E580" s="35" t="str">
        <f t="shared" si="23"/>
        <v>Band Target</v>
      </c>
      <c r="F580" s="34" t="s">
        <v>92</v>
      </c>
      <c r="G580" s="50" t="s">
        <v>101</v>
      </c>
    </row>
    <row r="581" spans="1:7" hidden="1">
      <c r="A581" s="34" t="s">
        <v>272</v>
      </c>
      <c r="B581" s="34"/>
      <c r="C581" s="34"/>
      <c r="D581" s="47" t="s">
        <v>264</v>
      </c>
      <c r="E581" s="35" t="str">
        <f t="shared" si="23"/>
        <v>Band Target</v>
      </c>
      <c r="F581" s="34" t="s">
        <v>93</v>
      </c>
      <c r="G581" s="50" t="s">
        <v>101</v>
      </c>
    </row>
    <row r="582" spans="1:7" hidden="1">
      <c r="A582" s="34" t="s">
        <v>272</v>
      </c>
      <c r="B582" s="34"/>
      <c r="C582" s="34"/>
      <c r="D582" s="47" t="s">
        <v>264</v>
      </c>
      <c r="E582" s="35" t="str">
        <f t="shared" si="23"/>
        <v>Band Target</v>
      </c>
      <c r="F582" s="34" t="s">
        <v>94</v>
      </c>
      <c r="G582" s="50" t="s">
        <v>101</v>
      </c>
    </row>
    <row r="583" spans="1:7" hidden="1">
      <c r="A583" s="34" t="s">
        <v>272</v>
      </c>
      <c r="B583" s="34"/>
      <c r="C583" s="34"/>
      <c r="D583" s="47" t="s">
        <v>264</v>
      </c>
      <c r="E583" s="35" t="str">
        <f t="shared" si="23"/>
        <v>Band Target</v>
      </c>
      <c r="F583" s="34" t="s">
        <v>95</v>
      </c>
      <c r="G583" s="50" t="s">
        <v>101</v>
      </c>
    </row>
    <row r="584" spans="1:7" hidden="1">
      <c r="A584" s="34" t="s">
        <v>272</v>
      </c>
      <c r="B584" s="57" t="s">
        <v>278</v>
      </c>
      <c r="C584" s="34"/>
      <c r="D584" s="47" t="s">
        <v>264</v>
      </c>
      <c r="E584" s="34" t="s">
        <v>96</v>
      </c>
      <c r="F584" s="34" t="s">
        <v>72</v>
      </c>
      <c r="G584" s="50" t="s">
        <v>101</v>
      </c>
    </row>
    <row r="585" spans="1:7" hidden="1">
      <c r="A585" s="34" t="s">
        <v>272</v>
      </c>
      <c r="B585" s="57" t="s">
        <v>283</v>
      </c>
      <c r="C585" s="34"/>
      <c r="D585" s="47" t="s">
        <v>264</v>
      </c>
      <c r="E585" s="35" t="str">
        <f>E584</f>
        <v>Graphic EQ(Wallmount)</v>
      </c>
      <c r="F585" s="34" t="s">
        <v>73</v>
      </c>
      <c r="G585" s="50" t="s">
        <v>236</v>
      </c>
    </row>
    <row r="586" spans="1:7" hidden="1">
      <c r="A586" s="34" t="s">
        <v>272</v>
      </c>
      <c r="B586" s="34"/>
      <c r="C586" s="34"/>
      <c r="D586" s="47" t="s">
        <v>264</v>
      </c>
      <c r="E586" s="35" t="s">
        <v>74</v>
      </c>
      <c r="F586" s="34" t="s">
        <v>18</v>
      </c>
      <c r="G586" s="50" t="s">
        <v>237</v>
      </c>
    </row>
    <row r="587" spans="1:7" hidden="1">
      <c r="A587" s="34" t="s">
        <v>272</v>
      </c>
      <c r="B587" s="34"/>
      <c r="C587" s="34"/>
      <c r="D587" s="47" t="s">
        <v>264</v>
      </c>
      <c r="E587" s="35" t="str">
        <f t="shared" ref="E587:E605" si="24">E586</f>
        <v>Band Center</v>
      </c>
      <c r="F587" s="34" t="s">
        <v>19</v>
      </c>
      <c r="G587" s="50" t="s">
        <v>238</v>
      </c>
    </row>
    <row r="588" spans="1:7" hidden="1">
      <c r="A588" s="34" t="s">
        <v>272</v>
      </c>
      <c r="B588" s="34"/>
      <c r="C588" s="34"/>
      <c r="D588" s="47" t="s">
        <v>264</v>
      </c>
      <c r="E588" s="35" t="str">
        <f t="shared" si="24"/>
        <v>Band Center</v>
      </c>
      <c r="F588" s="34" t="s">
        <v>20</v>
      </c>
      <c r="G588" s="50" t="s">
        <v>239</v>
      </c>
    </row>
    <row r="589" spans="1:7" hidden="1">
      <c r="A589" s="34" t="s">
        <v>272</v>
      </c>
      <c r="B589" s="34"/>
      <c r="C589" s="34"/>
      <c r="D589" s="47" t="s">
        <v>264</v>
      </c>
      <c r="E589" s="35" t="str">
        <f t="shared" si="24"/>
        <v>Band Center</v>
      </c>
      <c r="F589" s="34" t="s">
        <v>21</v>
      </c>
      <c r="G589" s="50" t="s">
        <v>240</v>
      </c>
    </row>
    <row r="590" spans="1:7" hidden="1">
      <c r="A590" s="34" t="s">
        <v>272</v>
      </c>
      <c r="B590" s="34"/>
      <c r="C590" s="34"/>
      <c r="D590" s="47" t="s">
        <v>264</v>
      </c>
      <c r="E590" s="35" t="str">
        <f t="shared" si="24"/>
        <v>Band Center</v>
      </c>
      <c r="F590" s="34" t="s">
        <v>22</v>
      </c>
      <c r="G590" s="50" t="s">
        <v>235</v>
      </c>
    </row>
    <row r="591" spans="1:7" hidden="1">
      <c r="A591" s="34" t="s">
        <v>272</v>
      </c>
      <c r="B591" s="34"/>
      <c r="C591" s="34"/>
      <c r="D591" s="47" t="s">
        <v>264</v>
      </c>
      <c r="E591" s="35" t="str">
        <f t="shared" si="24"/>
        <v>Band Center</v>
      </c>
      <c r="F591" s="34" t="s">
        <v>23</v>
      </c>
      <c r="G591" s="50" t="s">
        <v>241</v>
      </c>
    </row>
    <row r="592" spans="1:7" hidden="1">
      <c r="A592" s="34" t="s">
        <v>272</v>
      </c>
      <c r="B592" s="34"/>
      <c r="C592" s="34"/>
      <c r="D592" s="47" t="s">
        <v>264</v>
      </c>
      <c r="E592" s="35" t="str">
        <f t="shared" si="24"/>
        <v>Band Center</v>
      </c>
      <c r="F592" s="34" t="s">
        <v>24</v>
      </c>
      <c r="G592" s="50" t="s">
        <v>242</v>
      </c>
    </row>
    <row r="593" spans="1:7" hidden="1">
      <c r="A593" s="34" t="s">
        <v>272</v>
      </c>
      <c r="B593" s="34"/>
      <c r="C593" s="34"/>
      <c r="D593" s="47" t="s">
        <v>264</v>
      </c>
      <c r="E593" s="35" t="str">
        <f t="shared" si="24"/>
        <v>Band Center</v>
      </c>
      <c r="F593" s="34" t="s">
        <v>25</v>
      </c>
      <c r="G593" s="50" t="s">
        <v>243</v>
      </c>
    </row>
    <row r="594" spans="1:7" hidden="1">
      <c r="A594" s="34" t="s">
        <v>272</v>
      </c>
      <c r="B594" s="34"/>
      <c r="C594" s="34"/>
      <c r="D594" s="47" t="s">
        <v>264</v>
      </c>
      <c r="E594" s="35" t="str">
        <f t="shared" si="24"/>
        <v>Band Center</v>
      </c>
      <c r="F594" s="34" t="s">
        <v>26</v>
      </c>
      <c r="G594" s="50" t="s">
        <v>244</v>
      </c>
    </row>
    <row r="595" spans="1:7" hidden="1">
      <c r="A595" s="34" t="s">
        <v>272</v>
      </c>
      <c r="B595" s="34"/>
      <c r="C595" s="34"/>
      <c r="D595" s="47" t="s">
        <v>264</v>
      </c>
      <c r="E595" s="35" t="str">
        <f t="shared" si="24"/>
        <v>Band Center</v>
      </c>
      <c r="F595" s="34" t="s">
        <v>27</v>
      </c>
      <c r="G595" s="50" t="s">
        <v>245</v>
      </c>
    </row>
    <row r="596" spans="1:7" hidden="1">
      <c r="A596" s="34" t="s">
        <v>272</v>
      </c>
      <c r="B596" s="34"/>
      <c r="C596" s="34"/>
      <c r="D596" s="47" t="s">
        <v>264</v>
      </c>
      <c r="E596" s="35" t="str">
        <f t="shared" si="24"/>
        <v>Band Center</v>
      </c>
      <c r="F596" s="34" t="s">
        <v>28</v>
      </c>
      <c r="G596" s="50" t="s">
        <v>246</v>
      </c>
    </row>
    <row r="597" spans="1:7" hidden="1">
      <c r="A597" s="34" t="s">
        <v>272</v>
      </c>
      <c r="B597" s="34"/>
      <c r="C597" s="34"/>
      <c r="D597" s="47" t="s">
        <v>264</v>
      </c>
      <c r="E597" s="35" t="str">
        <f t="shared" si="24"/>
        <v>Band Center</v>
      </c>
      <c r="F597" s="34" t="s">
        <v>29</v>
      </c>
      <c r="G597" s="50" t="s">
        <v>223</v>
      </c>
    </row>
    <row r="598" spans="1:7" hidden="1">
      <c r="A598" s="34" t="s">
        <v>272</v>
      </c>
      <c r="B598" s="34"/>
      <c r="C598" s="34"/>
      <c r="D598" s="47" t="s">
        <v>264</v>
      </c>
      <c r="E598" s="35" t="str">
        <f t="shared" si="24"/>
        <v>Band Center</v>
      </c>
      <c r="F598" s="34" t="s">
        <v>30</v>
      </c>
      <c r="G598" s="50" t="s">
        <v>247</v>
      </c>
    </row>
    <row r="599" spans="1:7" hidden="1">
      <c r="A599" s="34" t="s">
        <v>272</v>
      </c>
      <c r="B599" s="34"/>
      <c r="C599" s="34"/>
      <c r="D599" s="47" t="s">
        <v>264</v>
      </c>
      <c r="E599" s="35" t="str">
        <f t="shared" si="24"/>
        <v>Band Center</v>
      </c>
      <c r="F599" s="34" t="s">
        <v>31</v>
      </c>
      <c r="G599" s="50" t="s">
        <v>248</v>
      </c>
    </row>
    <row r="600" spans="1:7" hidden="1">
      <c r="A600" s="34" t="s">
        <v>272</v>
      </c>
      <c r="B600" s="34"/>
      <c r="C600" s="34"/>
      <c r="D600" s="47" t="s">
        <v>264</v>
      </c>
      <c r="E600" s="35" t="str">
        <f t="shared" si="24"/>
        <v>Band Center</v>
      </c>
      <c r="F600" s="34" t="s">
        <v>32</v>
      </c>
      <c r="G600" s="50" t="s">
        <v>249</v>
      </c>
    </row>
    <row r="601" spans="1:7" hidden="1">
      <c r="A601" s="34" t="s">
        <v>272</v>
      </c>
      <c r="B601" s="34"/>
      <c r="C601" s="34"/>
      <c r="D601" s="47" t="s">
        <v>264</v>
      </c>
      <c r="E601" s="35" t="str">
        <f t="shared" si="24"/>
        <v>Band Center</v>
      </c>
      <c r="F601" s="34" t="s">
        <v>33</v>
      </c>
      <c r="G601" s="50" t="s">
        <v>250</v>
      </c>
    </row>
    <row r="602" spans="1:7" hidden="1">
      <c r="A602" s="34" t="s">
        <v>272</v>
      </c>
      <c r="B602" s="34"/>
      <c r="C602" s="34"/>
      <c r="D602" s="47" t="s">
        <v>264</v>
      </c>
      <c r="E602" s="35" t="str">
        <f t="shared" si="24"/>
        <v>Band Center</v>
      </c>
      <c r="F602" s="34" t="s">
        <v>34</v>
      </c>
      <c r="G602" s="50" t="s">
        <v>251</v>
      </c>
    </row>
    <row r="603" spans="1:7" hidden="1">
      <c r="A603" s="34" t="s">
        <v>272</v>
      </c>
      <c r="B603" s="34"/>
      <c r="C603" s="34"/>
      <c r="D603" s="47" t="s">
        <v>264</v>
      </c>
      <c r="E603" s="35" t="str">
        <f t="shared" si="24"/>
        <v>Band Center</v>
      </c>
      <c r="F603" s="34" t="s">
        <v>35</v>
      </c>
      <c r="G603" s="50" t="s">
        <v>252</v>
      </c>
    </row>
    <row r="604" spans="1:7" hidden="1">
      <c r="A604" s="34" t="s">
        <v>272</v>
      </c>
      <c r="B604" s="34"/>
      <c r="C604" s="34"/>
      <c r="D604" s="47" t="s">
        <v>264</v>
      </c>
      <c r="E604" s="35" t="str">
        <f t="shared" si="24"/>
        <v>Band Center</v>
      </c>
      <c r="F604" s="34" t="s">
        <v>36</v>
      </c>
      <c r="G604" s="50" t="s">
        <v>253</v>
      </c>
    </row>
    <row r="605" spans="1:7" hidden="1">
      <c r="A605" s="34" t="s">
        <v>272</v>
      </c>
      <c r="B605" s="34"/>
      <c r="C605" s="34"/>
      <c r="D605" s="47" t="s">
        <v>264</v>
      </c>
      <c r="E605" s="35" t="str">
        <f t="shared" si="24"/>
        <v>Band Center</v>
      </c>
      <c r="F605" s="34" t="s">
        <v>37</v>
      </c>
      <c r="G605" s="50" t="s">
        <v>254</v>
      </c>
    </row>
    <row r="606" spans="1:7" hidden="1">
      <c r="A606" s="34" t="s">
        <v>272</v>
      </c>
      <c r="B606" s="34"/>
      <c r="C606" s="34"/>
      <c r="D606" s="47" t="s">
        <v>264</v>
      </c>
      <c r="E606" s="35" t="s">
        <v>75</v>
      </c>
      <c r="F606" s="34" t="s">
        <v>76</v>
      </c>
      <c r="G606" s="50" t="s">
        <v>101</v>
      </c>
    </row>
    <row r="607" spans="1:7" hidden="1">
      <c r="A607" s="34" t="s">
        <v>272</v>
      </c>
      <c r="B607" s="34"/>
      <c r="C607" s="34"/>
      <c r="D607" s="47" t="s">
        <v>264</v>
      </c>
      <c r="E607" s="35" t="str">
        <f t="shared" ref="E607:E625" si="25">E606</f>
        <v>Band Target</v>
      </c>
      <c r="F607" s="34" t="s">
        <v>77</v>
      </c>
      <c r="G607" s="50" t="s">
        <v>101</v>
      </c>
    </row>
    <row r="608" spans="1:7" hidden="1">
      <c r="A608" s="34" t="s">
        <v>272</v>
      </c>
      <c r="B608" s="34"/>
      <c r="C608" s="34"/>
      <c r="D608" s="47" t="s">
        <v>264</v>
      </c>
      <c r="E608" s="35" t="str">
        <f t="shared" si="25"/>
        <v>Band Target</v>
      </c>
      <c r="F608" s="34" t="s">
        <v>78</v>
      </c>
      <c r="G608" s="50" t="s">
        <v>101</v>
      </c>
    </row>
    <row r="609" spans="1:7" hidden="1">
      <c r="A609" s="34" t="s">
        <v>272</v>
      </c>
      <c r="B609" s="34"/>
      <c r="C609" s="34"/>
      <c r="D609" s="47" t="s">
        <v>264</v>
      </c>
      <c r="E609" s="35" t="str">
        <f t="shared" si="25"/>
        <v>Band Target</v>
      </c>
      <c r="F609" s="34" t="s">
        <v>79</v>
      </c>
      <c r="G609" s="50" t="s">
        <v>101</v>
      </c>
    </row>
    <row r="610" spans="1:7" hidden="1">
      <c r="A610" s="34" t="s">
        <v>272</v>
      </c>
      <c r="B610" s="34"/>
      <c r="C610" s="34"/>
      <c r="D610" s="47" t="s">
        <v>264</v>
      </c>
      <c r="E610" s="35" t="str">
        <f t="shared" si="25"/>
        <v>Band Target</v>
      </c>
      <c r="F610" s="34" t="s">
        <v>80</v>
      </c>
      <c r="G610" s="50" t="s">
        <v>101</v>
      </c>
    </row>
    <row r="611" spans="1:7" hidden="1">
      <c r="A611" s="34" t="s">
        <v>272</v>
      </c>
      <c r="B611" s="34"/>
      <c r="C611" s="34"/>
      <c r="D611" s="47" t="s">
        <v>264</v>
      </c>
      <c r="E611" s="35" t="str">
        <f t="shared" si="25"/>
        <v>Band Target</v>
      </c>
      <c r="F611" s="34" t="s">
        <v>81</v>
      </c>
      <c r="G611" s="50" t="s">
        <v>101</v>
      </c>
    </row>
    <row r="612" spans="1:7" hidden="1">
      <c r="A612" s="34" t="s">
        <v>272</v>
      </c>
      <c r="B612" s="34"/>
      <c r="C612" s="34"/>
      <c r="D612" s="47" t="s">
        <v>264</v>
      </c>
      <c r="E612" s="35" t="str">
        <f t="shared" si="25"/>
        <v>Band Target</v>
      </c>
      <c r="F612" s="34" t="s">
        <v>82</v>
      </c>
      <c r="G612" s="50" t="s">
        <v>101</v>
      </c>
    </row>
    <row r="613" spans="1:7" hidden="1">
      <c r="A613" s="34" t="s">
        <v>272</v>
      </c>
      <c r="B613" s="34"/>
      <c r="C613" s="34"/>
      <c r="D613" s="47" t="s">
        <v>264</v>
      </c>
      <c r="E613" s="35" t="str">
        <f t="shared" si="25"/>
        <v>Band Target</v>
      </c>
      <c r="F613" s="34" t="s">
        <v>83</v>
      </c>
      <c r="G613" s="50" t="s">
        <v>101</v>
      </c>
    </row>
    <row r="614" spans="1:7" hidden="1">
      <c r="A614" s="34" t="s">
        <v>272</v>
      </c>
      <c r="B614" s="34"/>
      <c r="C614" s="34"/>
      <c r="D614" s="47" t="s">
        <v>264</v>
      </c>
      <c r="E614" s="35" t="str">
        <f t="shared" si="25"/>
        <v>Band Target</v>
      </c>
      <c r="F614" s="34" t="s">
        <v>84</v>
      </c>
      <c r="G614" s="50" t="s">
        <v>101</v>
      </c>
    </row>
    <row r="615" spans="1:7" hidden="1">
      <c r="A615" s="34" t="s">
        <v>272</v>
      </c>
      <c r="B615" s="34"/>
      <c r="C615" s="34"/>
      <c r="D615" s="47" t="s">
        <v>264</v>
      </c>
      <c r="E615" s="35" t="str">
        <f t="shared" si="25"/>
        <v>Band Target</v>
      </c>
      <c r="F615" s="34" t="s">
        <v>85</v>
      </c>
      <c r="G615" s="50" t="s">
        <v>101</v>
      </c>
    </row>
    <row r="616" spans="1:7" hidden="1">
      <c r="A616" s="34" t="s">
        <v>272</v>
      </c>
      <c r="B616" s="34"/>
      <c r="C616" s="34"/>
      <c r="D616" s="47" t="s">
        <v>264</v>
      </c>
      <c r="E616" s="35" t="str">
        <f t="shared" si="25"/>
        <v>Band Target</v>
      </c>
      <c r="F616" s="34" t="s">
        <v>86</v>
      </c>
      <c r="G616" s="50" t="s">
        <v>101</v>
      </c>
    </row>
    <row r="617" spans="1:7" hidden="1">
      <c r="A617" s="34" t="s">
        <v>272</v>
      </c>
      <c r="B617" s="34"/>
      <c r="C617" s="34"/>
      <c r="D617" s="47" t="s">
        <v>264</v>
      </c>
      <c r="E617" s="35" t="str">
        <f t="shared" si="25"/>
        <v>Band Target</v>
      </c>
      <c r="F617" s="34" t="s">
        <v>87</v>
      </c>
      <c r="G617" s="50" t="s">
        <v>101</v>
      </c>
    </row>
    <row r="618" spans="1:7" hidden="1">
      <c r="A618" s="34" t="s">
        <v>272</v>
      </c>
      <c r="B618" s="34"/>
      <c r="C618" s="34"/>
      <c r="D618" s="47" t="s">
        <v>264</v>
      </c>
      <c r="E618" s="35" t="str">
        <f t="shared" si="25"/>
        <v>Band Target</v>
      </c>
      <c r="F618" s="34" t="s">
        <v>88</v>
      </c>
      <c r="G618" s="50" t="s">
        <v>101</v>
      </c>
    </row>
    <row r="619" spans="1:7" hidden="1">
      <c r="A619" s="34" t="s">
        <v>272</v>
      </c>
      <c r="B619" s="34"/>
      <c r="C619" s="34"/>
      <c r="D619" s="47" t="s">
        <v>264</v>
      </c>
      <c r="E619" s="35" t="str">
        <f t="shared" si="25"/>
        <v>Band Target</v>
      </c>
      <c r="F619" s="34" t="s">
        <v>89</v>
      </c>
      <c r="G619" s="50" t="s">
        <v>101</v>
      </c>
    </row>
    <row r="620" spans="1:7" hidden="1">
      <c r="A620" s="34" t="s">
        <v>272</v>
      </c>
      <c r="B620" s="34"/>
      <c r="C620" s="34"/>
      <c r="D620" s="47" t="s">
        <v>264</v>
      </c>
      <c r="E620" s="35" t="str">
        <f t="shared" si="25"/>
        <v>Band Target</v>
      </c>
      <c r="F620" s="34" t="s">
        <v>90</v>
      </c>
      <c r="G620" s="50" t="s">
        <v>101</v>
      </c>
    </row>
    <row r="621" spans="1:7" hidden="1">
      <c r="A621" s="34" t="s">
        <v>272</v>
      </c>
      <c r="B621" s="34"/>
      <c r="C621" s="34"/>
      <c r="D621" s="47" t="s">
        <v>264</v>
      </c>
      <c r="E621" s="35" t="str">
        <f t="shared" si="25"/>
        <v>Band Target</v>
      </c>
      <c r="F621" s="34" t="s">
        <v>91</v>
      </c>
      <c r="G621" s="50" t="s">
        <v>101</v>
      </c>
    </row>
    <row r="622" spans="1:7" hidden="1">
      <c r="A622" s="34" t="s">
        <v>272</v>
      </c>
      <c r="B622" s="34"/>
      <c r="C622" s="34"/>
      <c r="D622" s="47" t="s">
        <v>264</v>
      </c>
      <c r="E622" s="35" t="str">
        <f t="shared" si="25"/>
        <v>Band Target</v>
      </c>
      <c r="F622" s="34" t="s">
        <v>92</v>
      </c>
      <c r="G622" s="50" t="s">
        <v>101</v>
      </c>
    </row>
    <row r="623" spans="1:7" hidden="1">
      <c r="A623" s="34" t="s">
        <v>272</v>
      </c>
      <c r="B623" s="34"/>
      <c r="C623" s="34"/>
      <c r="D623" s="47" t="s">
        <v>264</v>
      </c>
      <c r="E623" s="35" t="str">
        <f t="shared" si="25"/>
        <v>Band Target</v>
      </c>
      <c r="F623" s="34" t="s">
        <v>93</v>
      </c>
      <c r="G623" s="50" t="s">
        <v>101</v>
      </c>
    </row>
    <row r="624" spans="1:7" hidden="1">
      <c r="A624" s="34" t="s">
        <v>272</v>
      </c>
      <c r="B624" s="34"/>
      <c r="C624" s="34"/>
      <c r="D624" s="47" t="s">
        <v>264</v>
      </c>
      <c r="E624" s="35" t="str">
        <f t="shared" si="25"/>
        <v>Band Target</v>
      </c>
      <c r="F624" s="34" t="s">
        <v>94</v>
      </c>
      <c r="G624" s="50" t="s">
        <v>101</v>
      </c>
    </row>
    <row r="625" spans="1:7" hidden="1">
      <c r="A625" s="34" t="s">
        <v>272</v>
      </c>
      <c r="B625" s="34"/>
      <c r="C625" s="34"/>
      <c r="D625" s="47" t="s">
        <v>264</v>
      </c>
      <c r="E625" s="35" t="str">
        <f t="shared" si="25"/>
        <v>Band Target</v>
      </c>
      <c r="F625" s="34" t="s">
        <v>95</v>
      </c>
      <c r="G625" s="50" t="s">
        <v>101</v>
      </c>
    </row>
    <row r="626" spans="1:7" hidden="1">
      <c r="A626" s="34" t="s">
        <v>272</v>
      </c>
      <c r="B626" s="57" t="s">
        <v>280</v>
      </c>
      <c r="C626" s="34"/>
      <c r="D626" s="47" t="s">
        <v>264</v>
      </c>
      <c r="E626" s="35" t="s">
        <v>97</v>
      </c>
      <c r="F626" s="34" t="s">
        <v>98</v>
      </c>
      <c r="G626" s="50" t="s">
        <v>101</v>
      </c>
    </row>
    <row r="627" spans="1:7" hidden="1">
      <c r="A627" s="34" t="s">
        <v>272</v>
      </c>
      <c r="B627" s="53" t="s">
        <v>282</v>
      </c>
      <c r="C627" s="34"/>
      <c r="D627" s="47" t="s">
        <v>264</v>
      </c>
      <c r="E627" s="35" t="str">
        <f>E626</f>
        <v>Intelligent EQ</v>
      </c>
      <c r="F627" s="34" t="s">
        <v>38</v>
      </c>
      <c r="G627" s="50" t="s">
        <v>236</v>
      </c>
    </row>
    <row r="628" spans="1:7" ht="13.5" hidden="1">
      <c r="A628" s="34" t="s">
        <v>272</v>
      </c>
      <c r="B628" s="77" t="s">
        <v>281</v>
      </c>
      <c r="C628" s="34"/>
      <c r="D628" s="47" t="s">
        <v>264</v>
      </c>
      <c r="E628" s="35" t="str">
        <f>E627</f>
        <v>Intelligent EQ</v>
      </c>
      <c r="F628" s="34" t="s">
        <v>39</v>
      </c>
      <c r="G628" s="50" t="s">
        <v>101</v>
      </c>
    </row>
    <row r="629" spans="1:7" hidden="1">
      <c r="A629" s="34" t="s">
        <v>272</v>
      </c>
      <c r="B629" s="34"/>
      <c r="C629" s="34"/>
      <c r="D629" s="47" t="s">
        <v>264</v>
      </c>
      <c r="E629" s="35" t="s">
        <v>74</v>
      </c>
      <c r="F629" s="34" t="s">
        <v>18</v>
      </c>
      <c r="G629" s="50" t="s">
        <v>237</v>
      </c>
    </row>
    <row r="630" spans="1:7" hidden="1">
      <c r="A630" s="34" t="s">
        <v>272</v>
      </c>
      <c r="B630" s="34"/>
      <c r="C630" s="34"/>
      <c r="D630" s="47" t="s">
        <v>264</v>
      </c>
      <c r="E630" s="35" t="str">
        <f t="shared" ref="E630:E648" si="26">E629</f>
        <v>Band Center</v>
      </c>
      <c r="F630" s="34" t="s">
        <v>19</v>
      </c>
      <c r="G630" s="50" t="s">
        <v>238</v>
      </c>
    </row>
    <row r="631" spans="1:7" hidden="1">
      <c r="A631" s="34" t="s">
        <v>272</v>
      </c>
      <c r="B631" s="34"/>
      <c r="C631" s="34"/>
      <c r="D631" s="47" t="s">
        <v>264</v>
      </c>
      <c r="E631" s="35" t="str">
        <f t="shared" si="26"/>
        <v>Band Center</v>
      </c>
      <c r="F631" s="34" t="s">
        <v>20</v>
      </c>
      <c r="G631" s="50" t="s">
        <v>239</v>
      </c>
    </row>
    <row r="632" spans="1:7" hidden="1">
      <c r="A632" s="34" t="s">
        <v>272</v>
      </c>
      <c r="B632" s="34"/>
      <c r="C632" s="34"/>
      <c r="D632" s="47" t="s">
        <v>264</v>
      </c>
      <c r="E632" s="35" t="str">
        <f t="shared" si="26"/>
        <v>Band Center</v>
      </c>
      <c r="F632" s="34" t="s">
        <v>21</v>
      </c>
      <c r="G632" s="50" t="s">
        <v>240</v>
      </c>
    </row>
    <row r="633" spans="1:7" hidden="1">
      <c r="A633" s="34" t="s">
        <v>272</v>
      </c>
      <c r="B633" s="34"/>
      <c r="C633" s="34"/>
      <c r="D633" s="47" t="s">
        <v>264</v>
      </c>
      <c r="E633" s="35" t="str">
        <f t="shared" si="26"/>
        <v>Band Center</v>
      </c>
      <c r="F633" s="34" t="s">
        <v>22</v>
      </c>
      <c r="G633" s="50" t="s">
        <v>235</v>
      </c>
    </row>
    <row r="634" spans="1:7" hidden="1">
      <c r="A634" s="34" t="s">
        <v>272</v>
      </c>
      <c r="B634" s="34"/>
      <c r="C634" s="34"/>
      <c r="D634" s="47" t="s">
        <v>264</v>
      </c>
      <c r="E634" s="35" t="str">
        <f t="shared" si="26"/>
        <v>Band Center</v>
      </c>
      <c r="F634" s="34" t="s">
        <v>23</v>
      </c>
      <c r="G634" s="50" t="s">
        <v>241</v>
      </c>
    </row>
    <row r="635" spans="1:7" hidden="1">
      <c r="A635" s="34" t="s">
        <v>272</v>
      </c>
      <c r="B635" s="34"/>
      <c r="C635" s="34"/>
      <c r="D635" s="47" t="s">
        <v>264</v>
      </c>
      <c r="E635" s="35" t="str">
        <f t="shared" si="26"/>
        <v>Band Center</v>
      </c>
      <c r="F635" s="34" t="s">
        <v>24</v>
      </c>
      <c r="G635" s="50" t="s">
        <v>242</v>
      </c>
    </row>
    <row r="636" spans="1:7" hidden="1">
      <c r="A636" s="34" t="s">
        <v>272</v>
      </c>
      <c r="B636" s="34"/>
      <c r="C636" s="34"/>
      <c r="D636" s="47" t="s">
        <v>264</v>
      </c>
      <c r="E636" s="35" t="str">
        <f t="shared" si="26"/>
        <v>Band Center</v>
      </c>
      <c r="F636" s="34" t="s">
        <v>25</v>
      </c>
      <c r="G636" s="50" t="s">
        <v>243</v>
      </c>
    </row>
    <row r="637" spans="1:7" hidden="1">
      <c r="A637" s="34" t="s">
        <v>272</v>
      </c>
      <c r="B637" s="34"/>
      <c r="C637" s="34"/>
      <c r="D637" s="47" t="s">
        <v>264</v>
      </c>
      <c r="E637" s="35" t="str">
        <f t="shared" si="26"/>
        <v>Band Center</v>
      </c>
      <c r="F637" s="34" t="s">
        <v>26</v>
      </c>
      <c r="G637" s="50" t="s">
        <v>244</v>
      </c>
    </row>
    <row r="638" spans="1:7" hidden="1">
      <c r="A638" s="34" t="s">
        <v>272</v>
      </c>
      <c r="B638" s="34"/>
      <c r="C638" s="34"/>
      <c r="D638" s="47" t="s">
        <v>264</v>
      </c>
      <c r="E638" s="35" t="str">
        <f t="shared" si="26"/>
        <v>Band Center</v>
      </c>
      <c r="F638" s="34" t="s">
        <v>27</v>
      </c>
      <c r="G638" s="50" t="s">
        <v>245</v>
      </c>
    </row>
    <row r="639" spans="1:7" hidden="1">
      <c r="A639" s="34" t="s">
        <v>272</v>
      </c>
      <c r="B639" s="34"/>
      <c r="C639" s="34"/>
      <c r="D639" s="47" t="s">
        <v>264</v>
      </c>
      <c r="E639" s="35" t="str">
        <f t="shared" si="26"/>
        <v>Band Center</v>
      </c>
      <c r="F639" s="34" t="s">
        <v>28</v>
      </c>
      <c r="G639" s="50" t="s">
        <v>246</v>
      </c>
    </row>
    <row r="640" spans="1:7" hidden="1">
      <c r="A640" s="34" t="s">
        <v>272</v>
      </c>
      <c r="B640" s="34"/>
      <c r="C640" s="34"/>
      <c r="D640" s="47" t="s">
        <v>264</v>
      </c>
      <c r="E640" s="35" t="str">
        <f t="shared" si="26"/>
        <v>Band Center</v>
      </c>
      <c r="F640" s="34" t="s">
        <v>29</v>
      </c>
      <c r="G640" s="50" t="s">
        <v>223</v>
      </c>
    </row>
    <row r="641" spans="1:7" hidden="1">
      <c r="A641" s="34" t="s">
        <v>272</v>
      </c>
      <c r="B641" s="34"/>
      <c r="C641" s="34"/>
      <c r="D641" s="47" t="s">
        <v>264</v>
      </c>
      <c r="E641" s="35" t="str">
        <f t="shared" si="26"/>
        <v>Band Center</v>
      </c>
      <c r="F641" s="34" t="s">
        <v>30</v>
      </c>
      <c r="G641" s="50" t="s">
        <v>247</v>
      </c>
    </row>
    <row r="642" spans="1:7" hidden="1">
      <c r="A642" s="34" t="s">
        <v>272</v>
      </c>
      <c r="B642" s="34"/>
      <c r="C642" s="34"/>
      <c r="D642" s="47" t="s">
        <v>264</v>
      </c>
      <c r="E642" s="35" t="str">
        <f t="shared" si="26"/>
        <v>Band Center</v>
      </c>
      <c r="F642" s="34" t="s">
        <v>31</v>
      </c>
      <c r="G642" s="50" t="s">
        <v>248</v>
      </c>
    </row>
    <row r="643" spans="1:7" hidden="1">
      <c r="A643" s="34" t="s">
        <v>272</v>
      </c>
      <c r="B643" s="34"/>
      <c r="C643" s="34"/>
      <c r="D643" s="47" t="s">
        <v>264</v>
      </c>
      <c r="E643" s="35" t="str">
        <f t="shared" si="26"/>
        <v>Band Center</v>
      </c>
      <c r="F643" s="34" t="s">
        <v>32</v>
      </c>
      <c r="G643" s="50" t="s">
        <v>249</v>
      </c>
    </row>
    <row r="644" spans="1:7" hidden="1">
      <c r="A644" s="34" t="s">
        <v>272</v>
      </c>
      <c r="B644" s="34"/>
      <c r="C644" s="34"/>
      <c r="D644" s="47" t="s">
        <v>264</v>
      </c>
      <c r="E644" s="35" t="str">
        <f t="shared" si="26"/>
        <v>Band Center</v>
      </c>
      <c r="F644" s="34" t="s">
        <v>33</v>
      </c>
      <c r="G644" s="50" t="s">
        <v>250</v>
      </c>
    </row>
    <row r="645" spans="1:7" hidden="1">
      <c r="A645" s="34" t="s">
        <v>272</v>
      </c>
      <c r="B645" s="34"/>
      <c r="C645" s="34"/>
      <c r="D645" s="47" t="s">
        <v>264</v>
      </c>
      <c r="E645" s="35" t="str">
        <f t="shared" si="26"/>
        <v>Band Center</v>
      </c>
      <c r="F645" s="34" t="s">
        <v>34</v>
      </c>
      <c r="G645" s="50" t="s">
        <v>251</v>
      </c>
    </row>
    <row r="646" spans="1:7" hidden="1">
      <c r="A646" s="34" t="s">
        <v>272</v>
      </c>
      <c r="B646" s="34"/>
      <c r="C646" s="34"/>
      <c r="D646" s="47" t="s">
        <v>264</v>
      </c>
      <c r="E646" s="35" t="str">
        <f t="shared" si="26"/>
        <v>Band Center</v>
      </c>
      <c r="F646" s="34" t="s">
        <v>35</v>
      </c>
      <c r="G646" s="50" t="s">
        <v>252</v>
      </c>
    </row>
    <row r="647" spans="1:7" hidden="1">
      <c r="A647" s="34" t="s">
        <v>272</v>
      </c>
      <c r="B647" s="34"/>
      <c r="C647" s="34"/>
      <c r="D647" s="47" t="s">
        <v>264</v>
      </c>
      <c r="E647" s="35" t="str">
        <f t="shared" si="26"/>
        <v>Band Center</v>
      </c>
      <c r="F647" s="34" t="s">
        <v>36</v>
      </c>
      <c r="G647" s="50" t="s">
        <v>253</v>
      </c>
    </row>
    <row r="648" spans="1:7" hidden="1">
      <c r="A648" s="34" t="s">
        <v>272</v>
      </c>
      <c r="B648" s="34"/>
      <c r="C648" s="34"/>
      <c r="D648" s="47" t="s">
        <v>264</v>
      </c>
      <c r="E648" s="35" t="str">
        <f t="shared" si="26"/>
        <v>Band Center</v>
      </c>
      <c r="F648" s="34" t="s">
        <v>37</v>
      </c>
      <c r="G648" s="50" t="s">
        <v>254</v>
      </c>
    </row>
    <row r="649" spans="1:7" hidden="1">
      <c r="A649" s="34" t="s">
        <v>272</v>
      </c>
      <c r="B649" s="34"/>
      <c r="C649" s="34"/>
      <c r="D649" s="47" t="s">
        <v>264</v>
      </c>
      <c r="E649" s="35" t="s">
        <v>99</v>
      </c>
      <c r="F649" s="34" t="s">
        <v>76</v>
      </c>
      <c r="G649" s="50" t="s">
        <v>255</v>
      </c>
    </row>
    <row r="650" spans="1:7" hidden="1">
      <c r="A650" s="34" t="s">
        <v>272</v>
      </c>
      <c r="B650" s="34"/>
      <c r="C650" s="34"/>
      <c r="D650" s="47" t="s">
        <v>264</v>
      </c>
      <c r="E650" s="35" t="str">
        <f t="shared" ref="E650:E668" si="27">E649</f>
        <v xml:space="preserve">Band Target </v>
      </c>
      <c r="F650" s="34" t="s">
        <v>77</v>
      </c>
      <c r="G650" s="50" t="s">
        <v>255</v>
      </c>
    </row>
    <row r="651" spans="1:7" hidden="1">
      <c r="A651" s="34" t="s">
        <v>272</v>
      </c>
      <c r="B651" s="34"/>
      <c r="C651" s="34"/>
      <c r="D651" s="47" t="s">
        <v>264</v>
      </c>
      <c r="E651" s="35" t="str">
        <f t="shared" si="27"/>
        <v xml:space="preserve">Band Target </v>
      </c>
      <c r="F651" s="34" t="s">
        <v>78</v>
      </c>
      <c r="G651" s="50" t="s">
        <v>255</v>
      </c>
    </row>
    <row r="652" spans="1:7" hidden="1">
      <c r="A652" s="34" t="s">
        <v>272</v>
      </c>
      <c r="B652" s="34"/>
      <c r="C652" s="34"/>
      <c r="D652" s="47" t="s">
        <v>264</v>
      </c>
      <c r="E652" s="35" t="str">
        <f t="shared" si="27"/>
        <v xml:space="preserve">Band Target </v>
      </c>
      <c r="F652" s="34" t="s">
        <v>79</v>
      </c>
      <c r="G652" s="50" t="s">
        <v>255</v>
      </c>
    </row>
    <row r="653" spans="1:7" hidden="1">
      <c r="A653" s="34" t="s">
        <v>272</v>
      </c>
      <c r="B653" s="34"/>
      <c r="C653" s="34"/>
      <c r="D653" s="47" t="s">
        <v>264</v>
      </c>
      <c r="E653" s="35" t="str">
        <f t="shared" si="27"/>
        <v xml:space="preserve">Band Target </v>
      </c>
      <c r="F653" s="34" t="s">
        <v>80</v>
      </c>
      <c r="G653" s="50" t="s">
        <v>256</v>
      </c>
    </row>
    <row r="654" spans="1:7" hidden="1">
      <c r="A654" s="34" t="s">
        <v>272</v>
      </c>
      <c r="B654" s="34"/>
      <c r="C654" s="34"/>
      <c r="D654" s="47" t="s">
        <v>264</v>
      </c>
      <c r="E654" s="35" t="str">
        <f t="shared" si="27"/>
        <v xml:space="preserve">Band Target </v>
      </c>
      <c r="F654" s="34" t="s">
        <v>81</v>
      </c>
      <c r="G654" s="50" t="s">
        <v>227</v>
      </c>
    </row>
    <row r="655" spans="1:7" hidden="1">
      <c r="A655" s="34" t="s">
        <v>272</v>
      </c>
      <c r="B655" s="34"/>
      <c r="C655" s="34"/>
      <c r="D655" s="47" t="s">
        <v>264</v>
      </c>
      <c r="E655" s="35" t="str">
        <f t="shared" si="27"/>
        <v xml:space="preserve">Band Target </v>
      </c>
      <c r="F655" s="34" t="s">
        <v>82</v>
      </c>
      <c r="G655" s="50" t="s">
        <v>227</v>
      </c>
    </row>
    <row r="656" spans="1:7" hidden="1">
      <c r="A656" s="34" t="s">
        <v>272</v>
      </c>
      <c r="B656" s="34"/>
      <c r="C656" s="34"/>
      <c r="D656" s="47" t="s">
        <v>264</v>
      </c>
      <c r="E656" s="35" t="str">
        <f t="shared" si="27"/>
        <v xml:space="preserve">Band Target </v>
      </c>
      <c r="F656" s="34" t="s">
        <v>83</v>
      </c>
      <c r="G656" s="50" t="s">
        <v>257</v>
      </c>
    </row>
    <row r="657" spans="1:7" hidden="1">
      <c r="A657" s="34" t="s">
        <v>272</v>
      </c>
      <c r="B657" s="34"/>
      <c r="C657" s="34"/>
      <c r="D657" s="47" t="s">
        <v>264</v>
      </c>
      <c r="E657" s="35" t="str">
        <f t="shared" si="27"/>
        <v xml:space="preserve">Band Target </v>
      </c>
      <c r="F657" s="34" t="s">
        <v>84</v>
      </c>
      <c r="G657" s="50" t="s">
        <v>258</v>
      </c>
    </row>
    <row r="658" spans="1:7" hidden="1">
      <c r="A658" s="34" t="s">
        <v>272</v>
      </c>
      <c r="B658" s="34"/>
      <c r="C658" s="34"/>
      <c r="D658" s="47" t="s">
        <v>264</v>
      </c>
      <c r="E658" s="35" t="str">
        <f t="shared" si="27"/>
        <v xml:space="preserve">Band Target </v>
      </c>
      <c r="F658" s="34" t="s">
        <v>85</v>
      </c>
      <c r="G658" s="50" t="s">
        <v>259</v>
      </c>
    </row>
    <row r="659" spans="1:7" hidden="1">
      <c r="A659" s="34" t="s">
        <v>272</v>
      </c>
      <c r="B659" s="34"/>
      <c r="C659" s="34"/>
      <c r="D659" s="47" t="s">
        <v>264</v>
      </c>
      <c r="E659" s="35" t="str">
        <f t="shared" si="27"/>
        <v xml:space="preserve">Band Target </v>
      </c>
      <c r="F659" s="34" t="s">
        <v>86</v>
      </c>
      <c r="G659" s="50" t="s">
        <v>257</v>
      </c>
    </row>
    <row r="660" spans="1:7" hidden="1">
      <c r="A660" s="34" t="s">
        <v>272</v>
      </c>
      <c r="B660" s="34"/>
      <c r="C660" s="34"/>
      <c r="D660" s="47" t="s">
        <v>264</v>
      </c>
      <c r="E660" s="35" t="str">
        <f t="shared" si="27"/>
        <v xml:space="preserve">Band Target </v>
      </c>
      <c r="F660" s="34" t="s">
        <v>87</v>
      </c>
      <c r="G660" s="50" t="s">
        <v>257</v>
      </c>
    </row>
    <row r="661" spans="1:7" hidden="1">
      <c r="A661" s="34" t="s">
        <v>272</v>
      </c>
      <c r="B661" s="34"/>
      <c r="C661" s="34"/>
      <c r="D661" s="47" t="s">
        <v>264</v>
      </c>
      <c r="E661" s="35" t="str">
        <f t="shared" si="27"/>
        <v xml:space="preserve">Band Target </v>
      </c>
      <c r="F661" s="34" t="s">
        <v>88</v>
      </c>
      <c r="G661" s="50" t="s">
        <v>256</v>
      </c>
    </row>
    <row r="662" spans="1:7" hidden="1">
      <c r="A662" s="34" t="s">
        <v>272</v>
      </c>
      <c r="B662" s="34"/>
      <c r="C662" s="34"/>
      <c r="D662" s="47" t="s">
        <v>264</v>
      </c>
      <c r="E662" s="35" t="str">
        <f t="shared" si="27"/>
        <v xml:space="preserve">Band Target </v>
      </c>
      <c r="F662" s="34" t="s">
        <v>89</v>
      </c>
      <c r="G662" s="50" t="s">
        <v>260</v>
      </c>
    </row>
    <row r="663" spans="1:7" hidden="1">
      <c r="A663" s="34" t="s">
        <v>272</v>
      </c>
      <c r="B663" s="34"/>
      <c r="C663" s="34"/>
      <c r="D663" s="47" t="s">
        <v>264</v>
      </c>
      <c r="E663" s="35" t="str">
        <f t="shared" si="27"/>
        <v xml:space="preserve">Band Target </v>
      </c>
      <c r="F663" s="34" t="s">
        <v>90</v>
      </c>
      <c r="G663" s="50" t="s">
        <v>227</v>
      </c>
    </row>
    <row r="664" spans="1:7" hidden="1">
      <c r="A664" s="34" t="s">
        <v>272</v>
      </c>
      <c r="B664" s="34"/>
      <c r="C664" s="34"/>
      <c r="D664" s="47" t="s">
        <v>264</v>
      </c>
      <c r="E664" s="35" t="str">
        <f t="shared" si="27"/>
        <v xml:space="preserve">Band Target </v>
      </c>
      <c r="F664" s="34" t="s">
        <v>91</v>
      </c>
      <c r="G664" s="50" t="s">
        <v>255</v>
      </c>
    </row>
    <row r="665" spans="1:7" hidden="1">
      <c r="A665" s="34" t="s">
        <v>272</v>
      </c>
      <c r="B665" s="34"/>
      <c r="C665" s="34"/>
      <c r="D665" s="47" t="s">
        <v>264</v>
      </c>
      <c r="E665" s="35" t="str">
        <f t="shared" si="27"/>
        <v xml:space="preserve">Band Target </v>
      </c>
      <c r="F665" s="34" t="s">
        <v>92</v>
      </c>
      <c r="G665" s="50" t="s">
        <v>255</v>
      </c>
    </row>
    <row r="666" spans="1:7" hidden="1">
      <c r="A666" s="34" t="s">
        <v>272</v>
      </c>
      <c r="B666" s="34"/>
      <c r="C666" s="34"/>
      <c r="D666" s="47" t="s">
        <v>264</v>
      </c>
      <c r="E666" s="35" t="str">
        <f t="shared" si="27"/>
        <v xml:space="preserve">Band Target </v>
      </c>
      <c r="F666" s="34" t="s">
        <v>93</v>
      </c>
      <c r="G666" s="50" t="s">
        <v>227</v>
      </c>
    </row>
    <row r="667" spans="1:7" hidden="1">
      <c r="A667" s="34" t="s">
        <v>272</v>
      </c>
      <c r="B667" s="34"/>
      <c r="C667" s="34"/>
      <c r="D667" s="47" t="s">
        <v>264</v>
      </c>
      <c r="E667" s="35" t="str">
        <f t="shared" si="27"/>
        <v xml:space="preserve">Band Target </v>
      </c>
      <c r="F667" s="34" t="s">
        <v>94</v>
      </c>
      <c r="G667" s="50" t="s">
        <v>261</v>
      </c>
    </row>
    <row r="668" spans="1:7" hidden="1">
      <c r="A668" s="34" t="s">
        <v>272</v>
      </c>
      <c r="B668" s="34"/>
      <c r="C668" s="34"/>
      <c r="D668" s="47" t="s">
        <v>264</v>
      </c>
      <c r="E668" s="35" t="str">
        <f t="shared" si="27"/>
        <v xml:space="preserve">Band Target </v>
      </c>
      <c r="F668" s="34" t="s">
        <v>95</v>
      </c>
      <c r="G668" s="50" t="s">
        <v>262</v>
      </c>
    </row>
    <row r="669" spans="1:7" hidden="1">
      <c r="A669" s="34" t="s">
        <v>272</v>
      </c>
      <c r="B669" s="34"/>
      <c r="C669" s="34"/>
      <c r="D669" s="47" t="s">
        <v>264</v>
      </c>
      <c r="E669" s="35" t="s">
        <v>153</v>
      </c>
      <c r="F669" s="34" t="s">
        <v>154</v>
      </c>
      <c r="G669" s="50" t="s">
        <v>101</v>
      </c>
    </row>
    <row r="670" spans="1:7" hidden="1">
      <c r="A670" s="34" t="s">
        <v>272</v>
      </c>
      <c r="B670" s="34"/>
      <c r="C670" s="37"/>
      <c r="D670" s="47" t="s">
        <v>264</v>
      </c>
      <c r="E670" s="35" t="str">
        <f>E669</f>
        <v>UI default setting</v>
      </c>
      <c r="F670" s="37" t="s">
        <v>152</v>
      </c>
      <c r="G670" s="50" t="s">
        <v>101</v>
      </c>
    </row>
  </sheetData>
  <protectedRanges>
    <protectedRange password="CC1A" sqref="E357:E361 E363:E367 E369:E377 E379 E381:E399 E401:E419 E421 E423:E441 E443:E461 E463:E464 E466:E484 E486:E504 E506 E508:E511 E515:E519 E521:E525 E527:E531 E533:E541 E543 E545:E563 E565:E583 E585 E587:E605 E607:E625 E627:E628 E630:E648 E650:E668 E670 E16:E19 E23:E27 E29:E33 E35:E39 E41:E49 E51 E53:E71 E73:E91 E93 E95:E113 E115:E133 E135:E136 E138:E156 E158:E176 E178 E302:E320 E322:E340 E342 E344:E347 E351:E355 E279:E297 E299:E300 E237:E255 E180:E183 E187:E191 E193:E197 E199:E203 E205:E213 E215 E217:E235 E257 E259:E277" name="範圍1_1_3_1_1_1" securityDescriptor="O:WDG:WDD:(A;;CC;;;S-1-5-21-842205988-4106145928-440537475-33665)"/>
    <protectedRange password="CC1A" sqref="E343 E15 E507 E179" name="範圍1_1_3_4_1_1_1" securityDescriptor="O:WDG:WDD:(A;;CC;;;S-1-5-21-842205988-4106145928-440537475-33665)"/>
    <protectedRange password="CC1A" sqref="E485 E505 E544 E50 E564 E584 E586 E185 E21 E606 E626 E629 E52 E72 E92 E94 E114 E542 E513 E378 E349 E214 E649 E669 E134 E137 E157 E177 E216 E236 E256 E258 E278 E298 E301 E321 E341 E380 E400 E420 E422 E442 E462 E465" name="範圍1_2_1_1_1_1" securityDescriptor="O:WDG:WDD:(A;;CC;;;S-1-5-21-842205988-4106145928-440537475-33665)"/>
    <protectedRange password="CC1A" sqref="F351:F353 F344:F347 F342 E343:F343 F322:F340 E341:F341 F302:F320 E321:F321 F299:F300 E301:F301 F199:F203 F193:F197 E198:F198 F187:F189 F180:F183 F178 E179:F179 F158:F176 E177:F177 F138:F156 E157:F157 F135:F136 E137:F137 F35:F39 F29:F33 E34:F34 F23:F25 F16:F19 B203:C203 E192:F192 E15:F15 E28:F28 E626:F626 E134:F134 E298:F298 E350:F350 E520:F520 E462:F462 E514:F514 E186:F186 E22:F22 F670 E356:F356 F650:F668 E669:F669 F630:F648 E649:F649 F627:F628 E629:F629 F527:F531 F521:F525 E526:F526 F515:F517 F508:F511 F506 E507:F507 F486:F504 E505:F505 F466:F484 E485:F485 F463:F464 E465:F465 F363:F367 F357:F361 E362:F362 A179:B179 B180:B183 A180:A670 B192:B202 B186:B189 C134:C202 A15:A178 B626:C670 B520:C531 B514:C517 B15:C19 B134:B178 B28:C39 B22:C25 B298:C347 B462:C511 B356:C367 B350:C353" name="範圍1_1_3_5_1_1_1" securityDescriptor="O:WDG:WDD:(A;;CC;;;S-1-5-21-842205988-4106145928-440537475-33665)"/>
    <protectedRange password="CC1A" sqref="B192:B194 F356:F358 F520:F522 F192:F194 F28:F30 B520:C522 B28:C30 B356:C358" name="範圍1_5_3_1_1_1_1" securityDescriptor="O:WDG:WDD:(A;;CC;;;S-1-5-21-842205988-4106145928-440537475-33665)"/>
    <protectedRange password="CC1A" sqref="E40 E532 E368 E204" name="範圍1_2_1_1_1_1_8" securityDescriptor="O:WDG:WDD:(A;;CC;;;S-1-5-21-842205988-4106145928-440537475-33665)"/>
    <protectedRange password="CC1A" sqref="B204:C213 F204:F213 F368:F377 F532:F541 F40:F49 B532:C541 B40:C49 B368:C377" name="範圍1_1_3_5_1_3" securityDescriptor="O:WDG:WDD:(A;;CC;;;S-1-5-21-842205988-4106145928-440537475-33665)"/>
    <protectedRange password="CC1A" sqref="F190:F191 F26:F27 F518:F519 F354:F355 B190:B191 B518:C519 B26:C27 B354:C355" name="範圍1_1_3_5_1_1_3_4_1_1_3" securityDescriptor="O:WDG:WDD:(A;;CC;;;S-1-5-21-842205988-4106145928-440537475-33665)"/>
    <protectedRange password="CC1A" sqref="E20" name="範圍1_1_3_4_1_1_1_7" securityDescriptor="O:WDG:WDD:(A;;CC;;;S-1-5-21-842205988-4106145928-440537475-33665)"/>
    <protectedRange password="CC1A" sqref="C20 E20:F20" name="範圍1_1_3_5_1_1_1_7" securityDescriptor="O:WDG:WDD:(A;;CC;;;S-1-5-21-842205988-4106145928-440537475-33665)"/>
    <protectedRange password="CC1A" sqref="E184" name="範圍1_1_3_4_1_1_1_8" securityDescriptor="O:WDG:WDD:(A;;CC;;;S-1-5-21-842205988-4106145928-440537475-33665)"/>
    <protectedRange password="CC1A" sqref="E184:F184 B184 B512 B20 B348" name="範圍1_1_3_5_1_1_1_8" securityDescriptor="O:WDG:WDD:(A;;CC;;;S-1-5-21-842205988-4106145928-440537475-33665)"/>
    <protectedRange password="CC1A" sqref="E348" name="範圍1_1_3_4_1_1_1_9" securityDescriptor="O:WDG:WDD:(A;;CC;;;S-1-5-21-842205988-4106145928-440537475-33665)"/>
    <protectedRange password="CC1A" sqref="C348 E348:F348" name="範圍1_1_3_5_1_1_1_9" securityDescriptor="O:WDG:WDD:(A;;CC;;;S-1-5-21-842205988-4106145928-440537475-33665)"/>
    <protectedRange password="CC1A" sqref="E512" name="範圍1_1_3_4_1_1_1_10" securityDescriptor="O:WDG:WDD:(A;;CC;;;S-1-5-21-842205988-4106145928-440537475-33665)"/>
    <protectedRange password="CC1A" sqref="C512 E512:F512" name="範圍1_1_3_5_1_1_1_10" securityDescriptor="O:WDG:WDD:(A;;CC;;;S-1-5-21-842205988-4106145928-440537475-33665)"/>
  </protectedRanges>
  <autoFilter ref="A14:G670" xr:uid="{B8401C15-6679-43EE-BD4B-9ACF703E67D1}">
    <filterColumn colId="0">
      <filters>
        <filter val="Movie"/>
        <filter val="Voice"/>
      </filters>
    </filterColumn>
  </autoFilter>
  <mergeCells count="2">
    <mergeCell ref="A13:C13"/>
    <mergeCell ref="D13:G13"/>
  </mergeCells>
  <phoneticPr fontId="13" type="noConversion"/>
  <conditionalFormatting sqref="G15:G670 A15:A178 A507:A670 A199:A200 A203:C214 A217:C298 A215:A216 C215:C216 A301:C342 A299:A300 C299:C300 A201:B202 A179:B198 C15:C202 C343:C670 B545:B626 B629:B670 B529:B542 B53:B134 B137:B178 B37:B50 B15:B34 B381:B462 B465:B526 B365:B378 B343:B362">
    <cfRule type="containsText" dxfId="31" priority="35" operator="containsText" text="00000000">
      <formula>NOT(ISERROR(SEARCH("00000000",A15)))</formula>
    </cfRule>
    <cfRule type="containsText" dxfId="30" priority="36" operator="containsText" text="01">
      <formula>NOT(ISERROR(SEARCH("01",A15)))</formula>
    </cfRule>
  </conditionalFormatting>
  <conditionalFormatting sqref="B199:B200">
    <cfRule type="containsText" dxfId="29" priority="29" operator="containsText" text="00000000">
      <formula>NOT(ISERROR(SEARCH("00000000",B199)))</formula>
    </cfRule>
    <cfRule type="containsText" dxfId="28" priority="30" operator="containsText" text="01">
      <formula>NOT(ISERROR(SEARCH("01",B199)))</formula>
    </cfRule>
  </conditionalFormatting>
  <conditionalFormatting sqref="B215:B216">
    <cfRule type="containsText" dxfId="27" priority="27" operator="containsText" text="00000000">
      <formula>NOT(ISERROR(SEARCH("00000000",B215)))</formula>
    </cfRule>
    <cfRule type="containsText" dxfId="26" priority="28" operator="containsText" text="01">
      <formula>NOT(ISERROR(SEARCH("01",B215)))</formula>
    </cfRule>
  </conditionalFormatting>
  <conditionalFormatting sqref="B299">
    <cfRule type="containsText" dxfId="25" priority="25" operator="containsText" text="00000000">
      <formula>NOT(ISERROR(SEARCH("00000000",B299)))</formula>
    </cfRule>
    <cfRule type="containsText" dxfId="24" priority="26" operator="containsText" text="01">
      <formula>NOT(ISERROR(SEARCH("01",B299)))</formula>
    </cfRule>
  </conditionalFormatting>
  <conditionalFormatting sqref="B527:B528">
    <cfRule type="containsText" dxfId="17" priority="17" operator="containsText" text="00000000">
      <formula>NOT(ISERROR(SEARCH("00000000",B527)))</formula>
    </cfRule>
    <cfRule type="containsText" dxfId="16" priority="18" operator="containsText" text="01">
      <formula>NOT(ISERROR(SEARCH("01",B527)))</formula>
    </cfRule>
  </conditionalFormatting>
  <conditionalFormatting sqref="B543:B544">
    <cfRule type="containsText" dxfId="15" priority="15" operator="containsText" text="00000000">
      <formula>NOT(ISERROR(SEARCH("00000000",B543)))</formula>
    </cfRule>
    <cfRule type="containsText" dxfId="14" priority="16" operator="containsText" text="01">
      <formula>NOT(ISERROR(SEARCH("01",B543)))</formula>
    </cfRule>
  </conditionalFormatting>
  <conditionalFormatting sqref="B627">
    <cfRule type="containsText" dxfId="13" priority="13" operator="containsText" text="00000000">
      <formula>NOT(ISERROR(SEARCH("00000000",B627)))</formula>
    </cfRule>
    <cfRule type="containsText" dxfId="12" priority="14" operator="containsText" text="01">
      <formula>NOT(ISERROR(SEARCH("01",B627)))</formula>
    </cfRule>
  </conditionalFormatting>
  <conditionalFormatting sqref="B35:B36">
    <cfRule type="containsText" dxfId="11" priority="11" operator="containsText" text="00000000">
      <formula>NOT(ISERROR(SEARCH("00000000",B35)))</formula>
    </cfRule>
    <cfRule type="containsText" dxfId="10" priority="12" operator="containsText" text="01">
      <formula>NOT(ISERROR(SEARCH("01",B35)))</formula>
    </cfRule>
  </conditionalFormatting>
  <conditionalFormatting sqref="B51:B52">
    <cfRule type="containsText" dxfId="9" priority="9" operator="containsText" text="00000000">
      <formula>NOT(ISERROR(SEARCH("00000000",B51)))</formula>
    </cfRule>
    <cfRule type="containsText" dxfId="8" priority="10" operator="containsText" text="01">
      <formula>NOT(ISERROR(SEARCH("01",B51)))</formula>
    </cfRule>
  </conditionalFormatting>
  <conditionalFormatting sqref="B135">
    <cfRule type="containsText" dxfId="7" priority="7" operator="containsText" text="00000000">
      <formula>NOT(ISERROR(SEARCH("00000000",B135)))</formula>
    </cfRule>
    <cfRule type="containsText" dxfId="6" priority="8" operator="containsText" text="01">
      <formula>NOT(ISERROR(SEARCH("01",B135)))</formula>
    </cfRule>
  </conditionalFormatting>
  <conditionalFormatting sqref="B363:B364">
    <cfRule type="containsText" dxfId="5" priority="5" operator="containsText" text="00000000">
      <formula>NOT(ISERROR(SEARCH("00000000",B363)))</formula>
    </cfRule>
    <cfRule type="containsText" dxfId="4" priority="6" operator="containsText" text="01">
      <formula>NOT(ISERROR(SEARCH("01",B363)))</formula>
    </cfRule>
  </conditionalFormatting>
  <conditionalFormatting sqref="B379:B380">
    <cfRule type="containsText" dxfId="3" priority="3" operator="containsText" text="00000000">
      <formula>NOT(ISERROR(SEARCH("00000000",B379)))</formula>
    </cfRule>
    <cfRule type="containsText" dxfId="2" priority="4" operator="containsText" text="01">
      <formula>NOT(ISERROR(SEARCH("01",B379)))</formula>
    </cfRule>
  </conditionalFormatting>
  <conditionalFormatting sqref="B463">
    <cfRule type="containsText" dxfId="1" priority="1" operator="containsText" text="00000000">
      <formula>NOT(ISERROR(SEARCH("00000000",B463)))</formula>
    </cfRule>
    <cfRule type="containsText" dxfId="0" priority="2" operator="containsText" text="01">
      <formula>NOT(ISERROR(SEARCH("01",B463)))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3F2D3-7042-4A6B-9706-C68AE4CD9C3B}">
  <dimension ref="B4:C46"/>
  <sheetViews>
    <sheetView topLeftCell="A20" workbookViewId="0">
      <selection activeCell="C42" sqref="C42:C45"/>
    </sheetView>
  </sheetViews>
  <sheetFormatPr defaultRowHeight="15.75"/>
  <cols>
    <col min="2" max="2" width="27.5" bestFit="1" customWidth="1"/>
    <col min="3" max="3" width="13.5" bestFit="1" customWidth="1"/>
  </cols>
  <sheetData>
    <row r="4" spans="2:3">
      <c r="B4" s="52" t="s">
        <v>11</v>
      </c>
      <c r="C4" s="52" t="s">
        <v>12</v>
      </c>
    </row>
    <row r="5" spans="2:3">
      <c r="B5" s="47" t="s">
        <v>180</v>
      </c>
      <c r="C5" s="35" t="s">
        <v>140</v>
      </c>
    </row>
    <row r="6" spans="2:3">
      <c r="B6" s="47" t="s">
        <v>181</v>
      </c>
      <c r="C6" s="35" t="s">
        <v>140</v>
      </c>
    </row>
    <row r="7" spans="2:3">
      <c r="B7" s="47" t="s">
        <v>182</v>
      </c>
      <c r="C7" s="35" t="s">
        <v>140</v>
      </c>
    </row>
    <row r="8" spans="2:3">
      <c r="B8" s="47" t="s">
        <v>183</v>
      </c>
      <c r="C8" s="35" t="s">
        <v>140</v>
      </c>
    </row>
    <row r="9" spans="2:3">
      <c r="B9" s="47" t="s">
        <v>184</v>
      </c>
      <c r="C9" s="35" t="s">
        <v>140</v>
      </c>
    </row>
    <row r="10" spans="2:3">
      <c r="B10" s="47" t="s">
        <v>185</v>
      </c>
      <c r="C10" s="35" t="s">
        <v>140</v>
      </c>
    </row>
    <row r="11" spans="2:3">
      <c r="B11" s="47" t="s">
        <v>186</v>
      </c>
      <c r="C11" s="35" t="s">
        <v>140</v>
      </c>
    </row>
    <row r="12" spans="2:3">
      <c r="B12" s="47" t="s">
        <v>187</v>
      </c>
      <c r="C12" s="35" t="s">
        <v>140</v>
      </c>
    </row>
    <row r="13" spans="2:3">
      <c r="B13" s="47" t="s">
        <v>188</v>
      </c>
      <c r="C13" s="35" t="s">
        <v>140</v>
      </c>
    </row>
    <row r="14" spans="2:3">
      <c r="B14" s="47" t="s">
        <v>189</v>
      </c>
      <c r="C14" s="35" t="s">
        <v>140</v>
      </c>
    </row>
    <row r="15" spans="2:3">
      <c r="B15" s="47" t="s">
        <v>190</v>
      </c>
      <c r="C15" s="35" t="s">
        <v>140</v>
      </c>
    </row>
    <row r="16" spans="2:3">
      <c r="B16" s="47" t="s">
        <v>191</v>
      </c>
      <c r="C16" s="35" t="s">
        <v>140</v>
      </c>
    </row>
    <row r="17" spans="2:3">
      <c r="B17" s="47" t="s">
        <v>192</v>
      </c>
      <c r="C17" s="35" t="s">
        <v>140</v>
      </c>
    </row>
    <row r="18" spans="2:3">
      <c r="B18" s="47" t="s">
        <v>193</v>
      </c>
      <c r="C18" s="35" t="s">
        <v>140</v>
      </c>
    </row>
    <row r="19" spans="2:3">
      <c r="B19" s="47" t="s">
        <v>194</v>
      </c>
      <c r="C19" s="35" t="s">
        <v>140</v>
      </c>
    </row>
    <row r="20" spans="2:3">
      <c r="B20" s="47" t="s">
        <v>195</v>
      </c>
      <c r="C20" s="35" t="s">
        <v>140</v>
      </c>
    </row>
    <row r="21" spans="2:3">
      <c r="B21" s="47" t="s">
        <v>196</v>
      </c>
      <c r="C21" s="35" t="s">
        <v>140</v>
      </c>
    </row>
    <row r="22" spans="2:3">
      <c r="B22" s="47" t="s">
        <v>197</v>
      </c>
      <c r="C22" s="35" t="s">
        <v>140</v>
      </c>
    </row>
    <row r="23" spans="2:3">
      <c r="B23" s="47" t="s">
        <v>198</v>
      </c>
      <c r="C23" s="35" t="s">
        <v>140</v>
      </c>
    </row>
    <row r="24" spans="2:3">
      <c r="B24" s="47" t="s">
        <v>199</v>
      </c>
      <c r="C24" s="35" t="s">
        <v>140</v>
      </c>
    </row>
    <row r="25" spans="2:3">
      <c r="B25" s="47" t="s">
        <v>143</v>
      </c>
      <c r="C25" s="35" t="s">
        <v>141</v>
      </c>
    </row>
    <row r="26" spans="2:3">
      <c r="B26" s="47" t="s">
        <v>144</v>
      </c>
      <c r="C26" s="35" t="s">
        <v>141</v>
      </c>
    </row>
    <row r="27" spans="2:3">
      <c r="B27" s="47" t="s">
        <v>145</v>
      </c>
      <c r="C27" s="35" t="s">
        <v>141</v>
      </c>
    </row>
    <row r="28" spans="2:3">
      <c r="B28" s="47" t="s">
        <v>146</v>
      </c>
      <c r="C28" s="35" t="s">
        <v>141</v>
      </c>
    </row>
    <row r="29" spans="2:3">
      <c r="B29" s="47" t="s">
        <v>147</v>
      </c>
      <c r="C29" s="35" t="s">
        <v>141</v>
      </c>
    </row>
    <row r="30" spans="2:3">
      <c r="B30" s="47" t="s">
        <v>142</v>
      </c>
      <c r="C30" s="35" t="s">
        <v>141</v>
      </c>
    </row>
    <row r="31" spans="2:3">
      <c r="B31" s="47" t="s">
        <v>148</v>
      </c>
      <c r="C31" s="35" t="s">
        <v>141</v>
      </c>
    </row>
    <row r="32" spans="2:3">
      <c r="B32" s="47" t="s">
        <v>149</v>
      </c>
      <c r="C32" s="35" t="s">
        <v>141</v>
      </c>
    </row>
    <row r="33" spans="2:3">
      <c r="B33" s="47" t="s">
        <v>200</v>
      </c>
      <c r="C33" s="35" t="s">
        <v>201</v>
      </c>
    </row>
    <row r="34" spans="2:3">
      <c r="B34" s="47" t="s">
        <v>202</v>
      </c>
      <c r="C34" s="35" t="s">
        <v>201</v>
      </c>
    </row>
    <row r="35" spans="2:3">
      <c r="B35" s="47" t="s">
        <v>203</v>
      </c>
      <c r="C35" s="35" t="s">
        <v>201</v>
      </c>
    </row>
    <row r="36" spans="2:3">
      <c r="B36" s="47" t="s">
        <v>204</v>
      </c>
      <c r="C36" s="35" t="s">
        <v>201</v>
      </c>
    </row>
    <row r="37" spans="2:3">
      <c r="B37" s="47" t="s">
        <v>205</v>
      </c>
      <c r="C37" s="35" t="s">
        <v>201</v>
      </c>
    </row>
    <row r="38" spans="2:3">
      <c r="B38" s="47" t="s">
        <v>206</v>
      </c>
      <c r="C38" s="35" t="s">
        <v>201</v>
      </c>
    </row>
    <row r="39" spans="2:3">
      <c r="B39" s="47" t="s">
        <v>207</v>
      </c>
      <c r="C39" s="35" t="s">
        <v>201</v>
      </c>
    </row>
    <row r="40" spans="2:3">
      <c r="B40" s="47" t="s">
        <v>208</v>
      </c>
      <c r="C40" s="35" t="s">
        <v>201</v>
      </c>
    </row>
    <row r="41" spans="2:3">
      <c r="B41" s="47" t="s">
        <v>209</v>
      </c>
      <c r="C41" s="35" t="s">
        <v>201</v>
      </c>
    </row>
    <row r="42" spans="2:3">
      <c r="B42" s="47" t="s">
        <v>210</v>
      </c>
      <c r="C42" s="35" t="s">
        <v>63</v>
      </c>
    </row>
    <row r="43" spans="2:3">
      <c r="B43" s="47" t="s">
        <v>210</v>
      </c>
      <c r="C43" s="33" t="s">
        <v>62</v>
      </c>
    </row>
    <row r="44" spans="2:3">
      <c r="B44" s="47" t="s">
        <v>210</v>
      </c>
      <c r="C44" s="35" t="s">
        <v>64</v>
      </c>
    </row>
    <row r="45" spans="2:3">
      <c r="B45" s="47" t="s">
        <v>210</v>
      </c>
      <c r="C45" s="34" t="s">
        <v>71</v>
      </c>
    </row>
    <row r="46" spans="2:3">
      <c r="B46" s="46" t="s">
        <v>151</v>
      </c>
      <c r="C46" s="35" t="s">
        <v>150</v>
      </c>
    </row>
  </sheetData>
  <protectedRanges>
    <protectedRange password="CC1A" sqref="C5" name="範圍1_1_3_1_1_1_29" securityDescriptor="O:WDG:WDD:(A;;CC;;;S-1-5-21-842205988-4106145928-440537475-33665)"/>
    <protectedRange password="CC1A" sqref="C6" name="範圍1_1_3_1_1_1_29_1" securityDescriptor="O:WDG:WDD:(A;;CC;;;S-1-5-21-842205988-4106145928-440537475-33665)"/>
    <protectedRange password="CC1A" sqref="C7" name="範圍1_1_3_1_1_1_29_2" securityDescriptor="O:WDG:WDD:(A;;CC;;;S-1-5-21-842205988-4106145928-440537475-33665)"/>
    <protectedRange password="CC1A" sqref="C8" name="範圍1_1_3_1_1_1_29_3" securityDescriptor="O:WDG:WDD:(A;;CC;;;S-1-5-21-842205988-4106145928-440537475-33665)"/>
    <protectedRange password="CC1A" sqref="C9" name="範圍1_1_3_1_1_1_29_4" securityDescriptor="O:WDG:WDD:(A;;CC;;;S-1-5-21-842205988-4106145928-440537475-33665)"/>
    <protectedRange password="CC1A" sqref="C10" name="範圍1_1_3_1_1_1_29_5" securityDescriptor="O:WDG:WDD:(A;;CC;;;S-1-5-21-842205988-4106145928-440537475-33665)"/>
    <protectedRange password="CC1A" sqref="C11" name="範圍1_1_3_1_1_1_29_7" securityDescriptor="O:WDG:WDD:(A;;CC;;;S-1-5-21-842205988-4106145928-440537475-33665)"/>
    <protectedRange password="CC1A" sqref="C12" name="範圍1_1_3_1_1_1_29_8" securityDescriptor="O:WDG:WDD:(A;;CC;;;S-1-5-21-842205988-4106145928-440537475-33665)"/>
    <protectedRange password="CC1A" sqref="C13" name="範圍1_1_3_1_1_1_29_9" securityDescriptor="O:WDG:WDD:(A;;CC;;;S-1-5-21-842205988-4106145928-440537475-33665)"/>
    <protectedRange password="CC1A" sqref="C14" name="範圍1_1_3_1_1_1_29_11" securityDescriptor="O:WDG:WDD:(A;;CC;;;S-1-5-21-842205988-4106145928-440537475-33665)"/>
    <protectedRange password="CC1A" sqref="C15" name="範圍1_1_3_1_1_1_29_12" securityDescriptor="O:WDG:WDD:(A;;CC;;;S-1-5-21-842205988-4106145928-440537475-33665)"/>
    <protectedRange password="CC1A" sqref="C16" name="範圍1_1_3_1_1_1_29_13" securityDescriptor="O:WDG:WDD:(A;;CC;;;S-1-5-21-842205988-4106145928-440537475-33665)"/>
    <protectedRange password="CC1A" sqref="C17" name="範圍1_1_3_1_1_1_29_14" securityDescriptor="O:WDG:WDD:(A;;CC;;;S-1-5-21-842205988-4106145928-440537475-33665)"/>
    <protectedRange password="CC1A" sqref="C18" name="範圍1_1_3_1_1_1_29_15" securityDescriptor="O:WDG:WDD:(A;;CC;;;S-1-5-21-842205988-4106145928-440537475-33665)"/>
    <protectedRange password="CC1A" sqref="C19" name="範圍1_1_3_1_1_1_29_16" securityDescriptor="O:WDG:WDD:(A;;CC;;;S-1-5-21-842205988-4106145928-440537475-33665)"/>
    <protectedRange password="CC1A" sqref="C20" name="範圍1_1_3_1_1_1_29_17" securityDescriptor="O:WDG:WDD:(A;;CC;;;S-1-5-21-842205988-4106145928-440537475-33665)"/>
    <protectedRange password="CC1A" sqref="C21" name="範圍1_1_3_1_1_1_29_19" securityDescriptor="O:WDG:WDD:(A;;CC;;;S-1-5-21-842205988-4106145928-440537475-33665)"/>
    <protectedRange password="CC1A" sqref="C22" name="範圍1_1_3_1_1_1_29_27" securityDescriptor="O:WDG:WDD:(A;;CC;;;S-1-5-21-842205988-4106145928-440537475-33665)"/>
    <protectedRange password="CC1A" sqref="C23" name="範圍1_1_3_1_1_1_29_29" securityDescriptor="O:WDG:WDD:(A;;CC;;;S-1-5-21-842205988-4106145928-440537475-33665)"/>
    <protectedRange password="CC1A" sqref="C24" name="範圍1_1_3_1_1_1_29_32" securityDescriptor="O:WDG:WDD:(A;;CC;;;S-1-5-21-842205988-4106145928-440537475-33665)"/>
    <protectedRange password="CC1A" sqref="C25" name="範圍1_1_3_1_1_1_29_3_2" securityDescriptor="O:WDG:WDD:(A;;CC;;;S-1-5-21-842205988-4106145928-440537475-33665)"/>
    <protectedRange password="CC1A" sqref="C26" name="範圍1_1_3_1_1_1_29_3_3" securityDescriptor="O:WDG:WDD:(A;;CC;;;S-1-5-21-842205988-4106145928-440537475-33665)"/>
    <protectedRange password="CC1A" sqref="C27" name="範圍1_1_3_1_1_1_29_3_4" securityDescriptor="O:WDG:WDD:(A;;CC;;;S-1-5-21-842205988-4106145928-440537475-33665)"/>
    <protectedRange password="CC1A" sqref="C28" name="範圍1_1_3_1_1_1_29_3_5" securityDescriptor="O:WDG:WDD:(A;;CC;;;S-1-5-21-842205988-4106145928-440537475-33665)"/>
    <protectedRange password="CC1A" sqref="C29" name="範圍1_1_3_1_1_1_29_3_6" securityDescriptor="O:WDG:WDD:(A;;CC;;;S-1-5-21-842205988-4106145928-440537475-33665)"/>
    <protectedRange password="CC1A" sqref="C30" name="範圍1_1_3_1_1_1_29_3_8" securityDescriptor="O:WDG:WDD:(A;;CC;;;S-1-5-21-842205988-4106145928-440537475-33665)"/>
    <protectedRange password="CC1A" sqref="C31" name="範圍1_1_3_1_1_1_29_3_10" securityDescriptor="O:WDG:WDD:(A;;CC;;;S-1-5-21-842205988-4106145928-440537475-33665)"/>
    <protectedRange password="CC1A" sqref="C32" name="範圍1_1_3_1_1_1_29_3_12" securityDescriptor="O:WDG:WDD:(A;;CC;;;S-1-5-21-842205988-4106145928-440537475-33665)"/>
    <protectedRange password="CC1A" sqref="C33" name="範圍1_1_3_1_1_1" securityDescriptor="O:WDG:WDD:(A;;CC;;;S-1-5-21-842205988-4106145928-440537475-33665)"/>
    <protectedRange password="CC1A" sqref="C34" name="範圍1_1_3_1_1_1_1" securityDescriptor="O:WDG:WDD:(A;;CC;;;S-1-5-21-842205988-4106145928-440537475-33665)"/>
    <protectedRange password="CC1A" sqref="C35" name="範圍1_1_3_1_1_1_2" securityDescriptor="O:WDG:WDD:(A;;CC;;;S-1-5-21-842205988-4106145928-440537475-33665)"/>
    <protectedRange password="CC1A" sqref="C36" name="範圍1_1_3_1_1_1_3" securityDescriptor="O:WDG:WDD:(A;;CC;;;S-1-5-21-842205988-4106145928-440537475-33665)"/>
    <protectedRange password="CC1A" sqref="C37" name="範圍1_1_3_1_1_1_4" securityDescriptor="O:WDG:WDD:(A;;CC;;;S-1-5-21-842205988-4106145928-440537475-33665)"/>
    <protectedRange password="CC1A" sqref="C38" name="範圍1_1_3_1_1_1_5" securityDescriptor="O:WDG:WDD:(A;;CC;;;S-1-5-21-842205988-4106145928-440537475-33665)"/>
    <protectedRange password="CC1A" sqref="C39" name="範圍1_1_3_1_1_1_6" securityDescriptor="O:WDG:WDD:(A;;CC;;;S-1-5-21-842205988-4106145928-440537475-33665)"/>
    <protectedRange password="CC1A" sqref="C40" name="範圍1_1_3_1_1_1_7" securityDescriptor="O:WDG:WDD:(A;;CC;;;S-1-5-21-842205988-4106145928-440537475-33665)"/>
    <protectedRange password="CC1A" sqref="C41" name="範圍1_1_3_1_1_1_8" securityDescriptor="O:WDG:WDD:(A;;CC;;;S-1-5-21-842205988-4106145928-440537475-33665)"/>
    <protectedRange password="CC1A" sqref="C42" name="範圍1_1_3_1_1_1_9" securityDescriptor="O:WDG:WDD:(A;;CC;;;S-1-5-21-842205988-4106145928-440537475-33665)"/>
    <protectedRange password="CC1A" sqref="C43" name="範圍1_1_3_1_1_1_10" securityDescriptor="O:WDG:WDD:(A;;CC;;;S-1-5-21-842205988-4106145928-440537475-33665)"/>
    <protectedRange password="CC1A" sqref="C44" name="範圍1_1_3_1_1_1_11" securityDescriptor="O:WDG:WDD:(A;;CC;;;S-1-5-21-842205988-4106145928-440537475-33665)"/>
    <protectedRange password="CC1A" sqref="C45" name="範圍1_1_3_1_1_1_12" securityDescriptor="O:WDG:WDD:(A;;CC;;;S-1-5-21-842205988-4106145928-440537475-33665)"/>
    <protectedRange password="CC1A" sqref="C46" name="範圍1_1_3_1_1_1_13" securityDescriptor="O:WDG:WDD:(A;;CC;;;S-1-5-21-842205988-4106145928-440537475-33665)"/>
    <protectedRange password="CC1A" sqref="C47" name="範圍1_1_3_1_1_1_14" securityDescriptor="O:WDG:WDD:(A;;CC;;;S-1-5-21-842205988-4106145928-440537475-33665)"/>
    <protectedRange password="CC1A" sqref="C48" name="範圍1_1_3_1_1_1_15" securityDescriptor="O:WDG:WDD:(A;;CC;;;S-1-5-21-842205988-4106145928-440537475-33665)"/>
    <protectedRange password="CC1A" sqref="C49" name="範圍1_1_3_1_1_1_16" securityDescriptor="O:WDG:WDD:(A;;CC;;;S-1-5-21-842205988-4106145928-440537475-33665)"/>
    <protectedRange password="CC1A" sqref="C50" name="範圍1_1_3_1_1_1_17" securityDescriptor="O:WDG:WDD:(A;;CC;;;S-1-5-21-842205988-4106145928-440537475-33665)"/>
    <protectedRange password="CC1A" sqref="C51" name="範圍1_1_3_1_1_1_18" securityDescriptor="O:WDG:WDD:(A;;CC;;;S-1-5-21-842205988-4106145928-440537475-33665)"/>
    <protectedRange password="CC1A" sqref="C52" name="範圍1_1_3_1_1_1_19" securityDescriptor="O:WDG:WDD:(A;;CC;;;S-1-5-21-842205988-4106145928-440537475-33665)"/>
    <protectedRange password="CC1A" sqref="C53" name="範圍1_1_3_1_1_1_20" securityDescriptor="O:WDG:WDD:(A;;CC;;;S-1-5-21-842205988-4106145928-440537475-33665)"/>
    <protectedRange password="CC1A" sqref="C54" name="範圍1_1_3_1_1_1_21" securityDescriptor="O:WDG:WDD:(A;;CC;;;S-1-5-21-842205988-4106145928-440537475-33665)"/>
    <protectedRange password="CC1A" sqref="C55" name="範圍1_1_3_1_1_1_22" securityDescriptor="O:WDG:WDD:(A;;CC;;;S-1-5-21-842205988-4106145928-440537475-33665)"/>
    <protectedRange password="CC1A" sqref="C56" name="範圍1_1_3_1_1_1_23" securityDescriptor="O:WDG:WDD:(A;;CC;;;S-1-5-21-842205988-4106145928-440537475-33665)"/>
    <protectedRange password="CC1A" sqref="C57" name="範圍1_1_3_1_1_1_24" securityDescriptor="O:WDG:WDD:(A;;CC;;;S-1-5-21-842205988-4106145928-440537475-33665)"/>
    <protectedRange password="CC1A" sqref="C58" name="範圍1_1_3_1_1_1_25" securityDescriptor="O:WDG:WDD:(A;;CC;;;S-1-5-21-842205988-4106145928-440537475-33665)"/>
    <protectedRange password="CC1A" sqref="C59" name="範圍1_1_3_1_1_1_26" securityDescriptor="O:WDG:WDD:(A;;CC;;;S-1-5-21-842205988-4106145928-440537475-33665)"/>
    <protectedRange password="CC1A" sqref="C60" name="範圍1_1_3_5_1_1_1" securityDescriptor="O:WDG:WDD:(A;;CC;;;S-1-5-21-842205988-4106145928-440537475-33665)"/>
    <protectedRange password="CC1A" sqref="C61" name="範圍1_1_3_5_1_1_1_1" securityDescriptor="O:WDG:WDD:(A;;CC;;;S-1-5-21-842205988-4106145928-440537475-33665)"/>
    <protectedRange password="CC1A" sqref="C62" name="範圍1_1_3_5_1_1_1_2" securityDescriptor="O:WDG:WDD:(A;;CC;;;S-1-5-21-842205988-4106145928-440537475-33665)"/>
    <protectedRange password="CC1A" sqref="C63" name="範圍1_2_1_1_1_1" securityDescriptor="O:WDG:WDD:(A;;CC;;;S-1-5-21-842205988-4106145928-440537475-33665)"/>
    <protectedRange password="CC1A" sqref="C64" name="範圍1_1_3_1_1_1_29_3_13_1_1" securityDescriptor="O:WDG:WDD:(A;;CC;;;S-1-5-21-842205988-4106145928-440537475-33665)"/>
  </protectedRange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42201-1E06-4A72-B2BB-3E9AD6B345DA}">
  <sheetPr codeName="Sheet2"/>
  <dimension ref="A1:D21"/>
  <sheetViews>
    <sheetView zoomScale="115" zoomScaleNormal="115" workbookViewId="0">
      <selection activeCell="D3" sqref="D3"/>
    </sheetView>
  </sheetViews>
  <sheetFormatPr defaultRowHeight="12.75"/>
  <cols>
    <col min="1" max="1" width="9.25" style="10" bestFit="1" customWidth="1"/>
    <col min="2" max="2" width="51.75" style="10" customWidth="1"/>
    <col min="3" max="3" width="15.75" style="10" bestFit="1" customWidth="1"/>
    <col min="4" max="4" width="16.5" style="39" bestFit="1" customWidth="1"/>
    <col min="5" max="16384" width="9" style="10"/>
  </cols>
  <sheetData>
    <row r="1" spans="1:4">
      <c r="A1" s="9" t="s">
        <v>50</v>
      </c>
      <c r="B1" s="9" t="s">
        <v>175</v>
      </c>
      <c r="C1" s="9" t="s">
        <v>172</v>
      </c>
      <c r="D1" s="38" t="s">
        <v>174</v>
      </c>
    </row>
    <row r="2" spans="1:4">
      <c r="A2" s="43" t="s">
        <v>176</v>
      </c>
      <c r="B2" s="40" t="s">
        <v>177</v>
      </c>
      <c r="C2" s="8" t="s">
        <v>178</v>
      </c>
      <c r="D2" s="27">
        <v>46043</v>
      </c>
    </row>
    <row r="3" spans="1:4">
      <c r="A3" s="43"/>
      <c r="B3" s="40"/>
      <c r="C3" s="8"/>
      <c r="D3" s="27"/>
    </row>
    <row r="4" spans="1:4" ht="45.4" customHeight="1">
      <c r="A4" s="43"/>
      <c r="B4" s="40"/>
      <c r="C4" s="41"/>
      <c r="D4" s="42"/>
    </row>
    <row r="5" spans="1:4">
      <c r="A5" s="43"/>
      <c r="B5" s="12"/>
      <c r="C5" s="41"/>
      <c r="D5" s="42"/>
    </row>
    <row r="6" spans="1:4" ht="41.25" customHeight="1">
      <c r="A6" s="43"/>
      <c r="B6" s="40"/>
      <c r="C6" s="41"/>
      <c r="D6" s="42"/>
    </row>
    <row r="7" spans="1:4">
      <c r="A7" s="44"/>
      <c r="B7" s="45"/>
      <c r="C7" s="41"/>
      <c r="D7" s="42"/>
    </row>
    <row r="8" spans="1:4">
      <c r="A8" s="11"/>
      <c r="B8" s="12"/>
      <c r="C8" s="12"/>
      <c r="D8" s="28"/>
    </row>
    <row r="9" spans="1:4">
      <c r="A9" s="30"/>
      <c r="B9" s="29"/>
      <c r="C9" s="31"/>
      <c r="D9" s="32"/>
    </row>
    <row r="10" spans="1:4">
      <c r="A10" s="11"/>
      <c r="B10" s="12"/>
      <c r="C10" s="12"/>
      <c r="D10" s="28"/>
    </row>
    <row r="11" spans="1:4">
      <c r="A11" s="11"/>
      <c r="B11" s="12"/>
      <c r="C11" s="12"/>
      <c r="D11" s="28"/>
    </row>
    <row r="12" spans="1:4">
      <c r="A12" s="11"/>
      <c r="B12" s="12"/>
      <c r="C12" s="12"/>
      <c r="D12" s="28"/>
    </row>
    <row r="13" spans="1:4">
      <c r="A13" s="11"/>
      <c r="B13" s="12"/>
      <c r="C13" s="12"/>
      <c r="D13" s="28"/>
    </row>
    <row r="14" spans="1:4">
      <c r="A14" s="11"/>
      <c r="B14" s="12"/>
      <c r="C14" s="12"/>
      <c r="D14" s="28"/>
    </row>
    <row r="15" spans="1:4">
      <c r="A15" s="11"/>
      <c r="B15" s="12"/>
      <c r="C15" s="12"/>
      <c r="D15" s="28"/>
    </row>
    <row r="16" spans="1:4">
      <c r="A16" s="11"/>
      <c r="B16" s="12"/>
      <c r="C16" s="12"/>
      <c r="D16" s="28"/>
    </row>
    <row r="17" spans="1:4">
      <c r="A17" s="11"/>
      <c r="B17" s="8"/>
      <c r="C17" s="12"/>
      <c r="D17" s="28"/>
    </row>
    <row r="18" spans="1:4">
      <c r="A18" s="11"/>
      <c r="B18" s="8"/>
      <c r="C18" s="12"/>
      <c r="D18" s="28"/>
    </row>
    <row r="19" spans="1:4">
      <c r="A19" s="11"/>
      <c r="B19" s="8"/>
      <c r="C19" s="12"/>
      <c r="D19" s="28"/>
    </row>
    <row r="20" spans="1:4">
      <c r="A20" s="11"/>
      <c r="B20" s="8"/>
      <c r="C20" s="12"/>
      <c r="D20" s="28"/>
    </row>
    <row r="21" spans="1:4">
      <c r="A21" s="11"/>
      <c r="B21" s="8"/>
      <c r="C21" s="12"/>
      <c r="D21" s="28"/>
    </row>
  </sheetData>
  <phoneticPr fontId="1"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E529-3010-4E0B-9B08-C71DE92170A9}">
  <sheetPr codeName="工作表9"/>
  <dimension ref="B2:E62"/>
  <sheetViews>
    <sheetView zoomScale="85" zoomScaleNormal="85" workbookViewId="0">
      <selection activeCell="E8" sqref="E8"/>
    </sheetView>
  </sheetViews>
  <sheetFormatPr defaultRowHeight="15.75"/>
  <cols>
    <col min="1" max="1" width="9" style="13"/>
    <col min="2" max="2" width="18.125" style="13" bestFit="1" customWidth="1"/>
    <col min="3" max="3" width="47.5" style="13" bestFit="1" customWidth="1"/>
    <col min="4" max="4" width="21.5" style="13" bestFit="1" customWidth="1"/>
    <col min="5" max="5" width="8.5" style="13" customWidth="1"/>
    <col min="6" max="16384" width="9" style="13"/>
  </cols>
  <sheetData>
    <row r="2" spans="2:5" ht="16.5" thickBot="1">
      <c r="E2" s="13" t="s">
        <v>10</v>
      </c>
    </row>
    <row r="3" spans="2:5">
      <c r="B3" s="60" t="s">
        <v>8</v>
      </c>
      <c r="C3" s="14" t="s">
        <v>5</v>
      </c>
      <c r="D3" s="15">
        <v>232</v>
      </c>
      <c r="E3" s="16">
        <v>4</v>
      </c>
    </row>
    <row r="4" spans="2:5">
      <c r="B4" s="61"/>
      <c r="C4" s="17" t="s">
        <v>15</v>
      </c>
      <c r="D4" s="18" t="s">
        <v>61</v>
      </c>
      <c r="E4" s="19">
        <v>16</v>
      </c>
    </row>
    <row r="5" spans="2:5">
      <c r="B5" s="61"/>
      <c r="C5" s="17" t="s">
        <v>9</v>
      </c>
      <c r="D5" s="20">
        <v>46043</v>
      </c>
      <c r="E5" s="19">
        <v>16</v>
      </c>
    </row>
    <row r="6" spans="2:5">
      <c r="B6" s="61"/>
      <c r="C6" s="17" t="s">
        <v>6</v>
      </c>
      <c r="D6" s="21" t="s">
        <v>179</v>
      </c>
      <c r="E6" s="19">
        <v>16</v>
      </c>
    </row>
    <row r="7" spans="2:5">
      <c r="B7" s="61"/>
      <c r="C7" s="17" t="s">
        <v>7</v>
      </c>
      <c r="D7" s="18" t="s">
        <v>100</v>
      </c>
      <c r="E7" s="19">
        <v>16</v>
      </c>
    </row>
    <row r="8" spans="2:5">
      <c r="B8" s="61"/>
      <c r="C8" s="17" t="s">
        <v>16</v>
      </c>
      <c r="D8" s="18">
        <v>40</v>
      </c>
      <c r="E8" s="19">
        <v>4</v>
      </c>
    </row>
    <row r="9" spans="2:5">
      <c r="B9" s="61"/>
      <c r="C9" s="17" t="s">
        <v>14</v>
      </c>
      <c r="D9" s="18">
        <v>232</v>
      </c>
      <c r="E9" s="19">
        <v>4</v>
      </c>
    </row>
    <row r="10" spans="2:5">
      <c r="B10" s="61"/>
      <c r="C10" s="17" t="s">
        <v>17</v>
      </c>
      <c r="D10" s="18">
        <v>17168</v>
      </c>
      <c r="E10" s="19">
        <v>4</v>
      </c>
    </row>
    <row r="11" spans="2:5">
      <c r="B11" s="61"/>
      <c r="C11" s="17" t="s">
        <v>47</v>
      </c>
      <c r="D11" s="18">
        <v>34104</v>
      </c>
      <c r="E11" s="19">
        <v>4</v>
      </c>
    </row>
    <row r="12" spans="2:5">
      <c r="B12" s="61"/>
      <c r="C12" s="17" t="s">
        <v>48</v>
      </c>
      <c r="D12" s="18">
        <v>51040</v>
      </c>
      <c r="E12" s="19">
        <v>4</v>
      </c>
    </row>
    <row r="13" spans="2:5">
      <c r="B13" s="61"/>
      <c r="C13" s="17" t="s">
        <v>49</v>
      </c>
      <c r="D13" s="18">
        <v>67976</v>
      </c>
      <c r="E13" s="19">
        <v>4</v>
      </c>
    </row>
    <row r="14" spans="2:5">
      <c r="B14" s="61"/>
      <c r="C14" s="17" t="s">
        <v>51</v>
      </c>
      <c r="D14" s="18">
        <v>84912</v>
      </c>
      <c r="E14" s="19">
        <v>4</v>
      </c>
    </row>
    <row r="15" spans="2:5">
      <c r="B15" s="61"/>
      <c r="C15" s="17" t="s">
        <v>52</v>
      </c>
      <c r="D15" s="18">
        <v>101848</v>
      </c>
      <c r="E15" s="19">
        <v>4</v>
      </c>
    </row>
    <row r="16" spans="2:5">
      <c r="B16" s="61"/>
      <c r="C16" s="17" t="s">
        <v>53</v>
      </c>
      <c r="D16" s="18">
        <v>118784</v>
      </c>
      <c r="E16" s="19">
        <v>4</v>
      </c>
    </row>
    <row r="17" spans="2:5">
      <c r="B17" s="61"/>
      <c r="C17" s="17" t="s">
        <v>54</v>
      </c>
      <c r="D17" s="18">
        <v>135720</v>
      </c>
      <c r="E17" s="19">
        <v>4</v>
      </c>
    </row>
    <row r="18" spans="2:5">
      <c r="B18" s="61"/>
      <c r="C18" s="17" t="s">
        <v>55</v>
      </c>
      <c r="D18" s="18">
        <v>152656</v>
      </c>
      <c r="E18" s="19">
        <v>4</v>
      </c>
    </row>
    <row r="19" spans="2:5">
      <c r="B19" s="61"/>
      <c r="C19" s="17" t="s">
        <v>56</v>
      </c>
      <c r="D19" s="18">
        <v>169592</v>
      </c>
      <c r="E19" s="19">
        <v>4</v>
      </c>
    </row>
    <row r="20" spans="2:5">
      <c r="B20" s="61"/>
      <c r="C20" s="17" t="s">
        <v>57</v>
      </c>
      <c r="D20" s="18">
        <v>186528</v>
      </c>
      <c r="E20" s="19">
        <v>4</v>
      </c>
    </row>
    <row r="21" spans="2:5">
      <c r="B21" s="61"/>
      <c r="C21" s="17" t="s">
        <v>58</v>
      </c>
      <c r="D21" s="18">
        <v>203464</v>
      </c>
      <c r="E21" s="19">
        <v>4</v>
      </c>
    </row>
    <row r="22" spans="2:5">
      <c r="B22" s="61"/>
      <c r="C22" s="17" t="s">
        <v>59</v>
      </c>
      <c r="D22" s="18">
        <v>220400</v>
      </c>
      <c r="E22" s="19">
        <v>4</v>
      </c>
    </row>
    <row r="23" spans="2:5">
      <c r="B23" s="61"/>
      <c r="C23" s="17" t="s">
        <v>60</v>
      </c>
      <c r="D23" s="18">
        <v>237336</v>
      </c>
      <c r="E23" s="19">
        <v>4</v>
      </c>
    </row>
    <row r="24" spans="2:5">
      <c r="B24" s="61"/>
      <c r="C24" s="17" t="s">
        <v>102</v>
      </c>
      <c r="D24" s="18">
        <v>254272</v>
      </c>
      <c r="E24" s="19">
        <v>4</v>
      </c>
    </row>
    <row r="25" spans="2:5">
      <c r="B25" s="61"/>
      <c r="C25" s="17" t="s">
        <v>103</v>
      </c>
      <c r="D25" s="18">
        <v>271208</v>
      </c>
      <c r="E25" s="19">
        <v>4</v>
      </c>
    </row>
    <row r="26" spans="2:5">
      <c r="B26" s="61"/>
      <c r="C26" s="17" t="s">
        <v>104</v>
      </c>
      <c r="D26" s="18">
        <v>288144</v>
      </c>
      <c r="E26" s="19">
        <v>4</v>
      </c>
    </row>
    <row r="27" spans="2:5">
      <c r="B27" s="61"/>
      <c r="C27" s="17" t="s">
        <v>105</v>
      </c>
      <c r="D27" s="18">
        <v>305080</v>
      </c>
      <c r="E27" s="19">
        <v>4</v>
      </c>
    </row>
    <row r="28" spans="2:5">
      <c r="B28" s="61"/>
      <c r="C28" s="17" t="s">
        <v>106</v>
      </c>
      <c r="D28" s="18">
        <v>322016</v>
      </c>
      <c r="E28" s="19">
        <v>4</v>
      </c>
    </row>
    <row r="29" spans="2:5">
      <c r="B29" s="61"/>
      <c r="C29" s="17" t="s">
        <v>107</v>
      </c>
      <c r="D29" s="18">
        <v>338952</v>
      </c>
      <c r="E29" s="19">
        <v>4</v>
      </c>
    </row>
    <row r="30" spans="2:5">
      <c r="B30" s="61"/>
      <c r="C30" s="17" t="s">
        <v>108</v>
      </c>
      <c r="D30" s="18">
        <v>355888</v>
      </c>
      <c r="E30" s="19">
        <v>4</v>
      </c>
    </row>
    <row r="31" spans="2:5">
      <c r="B31" s="61"/>
      <c r="C31" s="17" t="s">
        <v>109</v>
      </c>
      <c r="D31" s="22">
        <v>372824</v>
      </c>
      <c r="E31" s="23">
        <v>4</v>
      </c>
    </row>
    <row r="32" spans="2:5">
      <c r="B32" s="61"/>
      <c r="C32" s="17" t="s">
        <v>110</v>
      </c>
      <c r="D32" s="22">
        <v>389760</v>
      </c>
      <c r="E32" s="19">
        <v>4</v>
      </c>
    </row>
    <row r="33" spans="2:5">
      <c r="B33" s="61"/>
      <c r="C33" s="17" t="s">
        <v>111</v>
      </c>
      <c r="D33" s="22">
        <v>406696</v>
      </c>
      <c r="E33" s="19">
        <v>4</v>
      </c>
    </row>
    <row r="34" spans="2:5">
      <c r="B34" s="61"/>
      <c r="C34" s="17" t="s">
        <v>112</v>
      </c>
      <c r="D34" s="22">
        <v>423632</v>
      </c>
      <c r="E34" s="19">
        <v>4</v>
      </c>
    </row>
    <row r="35" spans="2:5">
      <c r="B35" s="61"/>
      <c r="C35" s="17" t="s">
        <v>113</v>
      </c>
      <c r="D35" s="22">
        <v>440568</v>
      </c>
      <c r="E35" s="19">
        <v>4</v>
      </c>
    </row>
    <row r="36" spans="2:5">
      <c r="B36" s="61"/>
      <c r="C36" s="17" t="s">
        <v>114</v>
      </c>
      <c r="D36" s="22">
        <v>457504</v>
      </c>
      <c r="E36" s="19">
        <v>4</v>
      </c>
    </row>
    <row r="37" spans="2:5">
      <c r="B37" s="61"/>
      <c r="C37" s="17" t="s">
        <v>115</v>
      </c>
      <c r="D37" s="22">
        <v>474440</v>
      </c>
      <c r="E37" s="19">
        <v>4</v>
      </c>
    </row>
    <row r="38" spans="2:5">
      <c r="B38" s="61"/>
      <c r="C38" s="17" t="s">
        <v>116</v>
      </c>
      <c r="D38" s="22">
        <v>491376</v>
      </c>
      <c r="E38" s="19">
        <v>4</v>
      </c>
    </row>
    <row r="39" spans="2:5">
      <c r="B39" s="61"/>
      <c r="C39" s="17" t="s">
        <v>117</v>
      </c>
      <c r="D39" s="22">
        <v>508312</v>
      </c>
      <c r="E39" s="19">
        <v>4</v>
      </c>
    </row>
    <row r="40" spans="2:5">
      <c r="B40" s="61"/>
      <c r="C40" s="17" t="s">
        <v>118</v>
      </c>
      <c r="D40" s="22">
        <v>525248</v>
      </c>
      <c r="E40" s="19">
        <v>4</v>
      </c>
    </row>
    <row r="41" spans="2:5">
      <c r="B41" s="61"/>
      <c r="C41" s="17" t="s">
        <v>119</v>
      </c>
      <c r="D41" s="22">
        <v>542184</v>
      </c>
      <c r="E41" s="19">
        <v>4</v>
      </c>
    </row>
    <row r="42" spans="2:5">
      <c r="B42" s="61"/>
      <c r="C42" s="17" t="s">
        <v>120</v>
      </c>
      <c r="D42" s="22">
        <v>559120</v>
      </c>
      <c r="E42" s="19">
        <v>4</v>
      </c>
    </row>
    <row r="43" spans="2:5">
      <c r="B43" s="61"/>
      <c r="C43" s="17" t="s">
        <v>121</v>
      </c>
      <c r="D43" s="22">
        <v>576056</v>
      </c>
      <c r="E43" s="19">
        <v>4</v>
      </c>
    </row>
    <row r="44" spans="2:5">
      <c r="B44" s="61"/>
      <c r="C44" s="17" t="s">
        <v>122</v>
      </c>
      <c r="D44" s="22">
        <v>592992</v>
      </c>
      <c r="E44" s="19">
        <v>4</v>
      </c>
    </row>
    <row r="45" spans="2:5">
      <c r="B45" s="61"/>
      <c r="C45" s="17" t="s">
        <v>123</v>
      </c>
      <c r="D45" s="22">
        <v>609928</v>
      </c>
      <c r="E45" s="19">
        <v>4</v>
      </c>
    </row>
    <row r="46" spans="2:5">
      <c r="B46" s="61"/>
      <c r="C46" s="17" t="s">
        <v>124</v>
      </c>
      <c r="D46" s="22">
        <v>626864</v>
      </c>
      <c r="E46" s="19">
        <v>4</v>
      </c>
    </row>
    <row r="47" spans="2:5">
      <c r="B47" s="61"/>
      <c r="C47" s="17" t="s">
        <v>125</v>
      </c>
      <c r="D47" s="22">
        <v>643800</v>
      </c>
      <c r="E47" s="19">
        <v>4</v>
      </c>
    </row>
    <row r="48" spans="2:5">
      <c r="B48" s="61"/>
      <c r="C48" s="17" t="s">
        <v>126</v>
      </c>
      <c r="D48" s="22">
        <v>660736</v>
      </c>
      <c r="E48" s="19">
        <v>4</v>
      </c>
    </row>
    <row r="49" spans="2:5">
      <c r="B49" s="61"/>
      <c r="C49" s="17"/>
      <c r="D49" s="22"/>
      <c r="E49" s="19"/>
    </row>
    <row r="50" spans="2:5">
      <c r="B50" s="61"/>
      <c r="C50" s="17"/>
      <c r="D50" s="22"/>
      <c r="E50" s="19"/>
    </row>
    <row r="51" spans="2:5">
      <c r="B51" s="61"/>
      <c r="C51" s="17"/>
      <c r="D51" s="22"/>
      <c r="E51" s="19"/>
    </row>
    <row r="52" spans="2:5">
      <c r="B52" s="61"/>
      <c r="C52" s="17"/>
      <c r="D52" s="22"/>
      <c r="E52" s="19"/>
    </row>
    <row r="53" spans="2:5">
      <c r="B53" s="61"/>
      <c r="C53" s="17"/>
      <c r="D53" s="22"/>
      <c r="E53" s="19"/>
    </row>
    <row r="54" spans="2:5">
      <c r="B54" s="61"/>
      <c r="C54" s="17"/>
      <c r="D54" s="22"/>
      <c r="E54" s="19"/>
    </row>
    <row r="55" spans="2:5">
      <c r="B55" s="61"/>
      <c r="C55" s="17"/>
      <c r="D55" s="22"/>
      <c r="E55" s="19"/>
    </row>
    <row r="56" spans="2:5">
      <c r="B56" s="61"/>
      <c r="C56" s="17"/>
      <c r="D56" s="22"/>
      <c r="E56" s="19"/>
    </row>
    <row r="57" spans="2:5">
      <c r="B57" s="61"/>
      <c r="C57" s="17"/>
      <c r="D57" s="22"/>
      <c r="E57" s="19"/>
    </row>
    <row r="58" spans="2:5">
      <c r="B58" s="61"/>
      <c r="C58" s="17"/>
      <c r="D58" s="22"/>
      <c r="E58" s="19"/>
    </row>
    <row r="59" spans="2:5">
      <c r="B59" s="61"/>
      <c r="C59" s="17"/>
      <c r="D59" s="22"/>
      <c r="E59" s="19"/>
    </row>
    <row r="60" spans="2:5">
      <c r="B60" s="61"/>
      <c r="C60" s="17"/>
      <c r="D60" s="22"/>
      <c r="E60" s="19"/>
    </row>
    <row r="61" spans="2:5">
      <c r="B61" s="61"/>
      <c r="C61" s="17"/>
      <c r="D61" s="22"/>
      <c r="E61" s="19"/>
    </row>
    <row r="62" spans="2:5" ht="16.5" thickBot="1">
      <c r="B62" s="62"/>
      <c r="C62" s="24"/>
      <c r="D62" s="25"/>
      <c r="E62" s="26"/>
    </row>
  </sheetData>
  <mergeCells count="1">
    <mergeCell ref="B3:B62"/>
  </mergeCells>
  <phoneticPr fontId="3"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87202170F33214DB48D4913E5CF7B78" ma:contentTypeVersion="19" ma:contentTypeDescription="Utwórz nowy dokument." ma:contentTypeScope="" ma:versionID="2b814995f70840b1bc07c608c4eff141">
  <xsd:schema xmlns:xsd="http://www.w3.org/2001/XMLSchema" xmlns:xs="http://www.w3.org/2001/XMLSchema" xmlns:p="http://schemas.microsoft.com/office/2006/metadata/properties" xmlns:ns2="79a1a31a-4946-4e8b-8c09-969348a35bcc" xmlns:ns3="b3a45d5c-5b8a-44c5-a8f7-31fa7ef16dd2" targetNamespace="http://schemas.microsoft.com/office/2006/metadata/properties" ma:root="true" ma:fieldsID="2f0b0fbfa6b4b9cb36f4fecb0671271c" ns2:_="" ns3:_="">
    <xsd:import namespace="79a1a31a-4946-4e8b-8c09-969348a35bcc"/>
    <xsd:import namespace="b3a45d5c-5b8a-44c5-a8f7-31fa7ef16dd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Location"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a1a31a-4946-4e8b-8c09-969348a35b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Tagi obrazów" ma:readOnly="false" ma:fieldId="{5cf76f15-5ced-4ddc-b409-7134ff3c332f}" ma:taxonomyMulti="true" ma:sspId="a7c03f70-1fee-45b4-879b-dfaefbd4118e"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a45d5c-5b8a-44c5-a8f7-31fa7ef16dd2" elementFormDefault="qualified">
    <xsd:import namespace="http://schemas.microsoft.com/office/2006/documentManagement/types"/>
    <xsd:import namespace="http://schemas.microsoft.com/office/infopath/2007/PartnerControls"/>
    <xsd:element name="SharedWithUsers" ma:index="16"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Udostępnione dla — szczegóły" ma:internalName="SharedWithDetails" ma:readOnly="true">
      <xsd:simpleType>
        <xsd:restriction base="dms:Note">
          <xsd:maxLength value="255"/>
        </xsd:restriction>
      </xsd:simpleType>
    </xsd:element>
    <xsd:element name="TaxCatchAll" ma:index="20" nillable="true" ma:displayName="Taxonomy Catch All Column" ma:hidden="true" ma:list="{330a2c5e-b9aa-4e4d-99b0-ffd4377e3dee}" ma:internalName="TaxCatchAll" ma:showField="CatchAllData" ma:web="b3a45d5c-5b8a-44c5-a8f7-31fa7ef16d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032931-6A06-417F-85D6-E6F7BB61F1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a1a31a-4946-4e8b-8c09-969348a35bcc"/>
    <ds:schemaRef ds:uri="b3a45d5c-5b8a-44c5-a8f7-31fa7ef16d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E48E82D-354A-4219-BD36-A5ADD8FF50B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AQ_INFO</vt:lpstr>
      <vt:lpstr>Copy&amp;Paste</vt:lpstr>
      <vt:lpstr>Sheet1</vt:lpstr>
      <vt:lpstr>AQ_Version</vt:lpstr>
      <vt:lpstr>AQ_Header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Jalen Hsiao(蕭傑仁)</dc:creator>
  <cp:lastModifiedBy>Aleksandr Jermakov</cp:lastModifiedBy>
  <dcterms:created xsi:type="dcterms:W3CDTF">2014-07-02T03:41:09Z</dcterms:created>
  <dcterms:modified xsi:type="dcterms:W3CDTF">2026-05-25T13:26:58Z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CatchAll">
    <vt:lpwstr/>
  </property>
  <property fmtid="{D5CDD505-2E9C-101B-9397-08002B2CF9AE}" pid="3" name="lcf76f155ced4ddcb4097134ff3c332f">
    <vt:lpwstr/>
  </property>
</Properties>
</file>